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SPANDANA\Downloads\"/>
    </mc:Choice>
  </mc:AlternateContent>
  <xr:revisionPtr revIDLastSave="0" documentId="13_ncr:1_{541F25A9-E8D4-4EC0-B364-06138B086220}" xr6:coauthVersionLast="47" xr6:coauthVersionMax="47" xr10:uidLastSave="{00000000-0000-0000-0000-000000000000}"/>
  <bookViews>
    <workbookView xWindow="-108" yWindow="-108" windowWidth="23256" windowHeight="12456" activeTab="4" xr2:uid="{26D4546B-D2A1-4444-8EAF-A6228F96F0C1}"/>
  </bookViews>
  <sheets>
    <sheet name="Sheet1" sheetId="7" r:id="rId1"/>
    <sheet name="Sheet2" sheetId="8" r:id="rId2"/>
    <sheet name="pivot" sheetId="6" r:id="rId3"/>
    <sheet name="Data" sheetId="2" r:id="rId4"/>
    <sheet name="Customer centre report" sheetId="5" r:id="rId5"/>
    <sheet name="Assets" sheetId="4" r:id="rId6"/>
  </sheets>
  <definedNames>
    <definedName name="_xlnm._FilterDatabase" localSheetId="3" hidden="1">Data!$B$3:$H$1003</definedName>
    <definedName name="_xlcn.WorksheetConnection_sampledataexcelportfolioproject.xlsxcalls1" hidden="1">calls[]</definedName>
    <definedName name="_xlcn.WorksheetConnection_sampledataexcelportfolioproject.xlsxcustomers1" hidden="1">customers[]</definedName>
    <definedName name="ExternalData_1" localSheetId="0" hidden="1">Sheet1!$A$3:$M$192</definedName>
    <definedName name="Slicer_Representative">#N/A</definedName>
  </definedNames>
  <calcPr calcId="191029"/>
  <pivotCaches>
    <pivotCache cacheId="0" r:id="rId7"/>
    <pivotCache cacheId="1" r:id="rId8"/>
    <pivotCache cacheId="2" r:id="rId9"/>
    <pivotCache cacheId="3" r:id="rId10"/>
    <pivotCache cacheId="4" r:id="rId11"/>
    <pivotCache cacheId="43" r:id="rId12"/>
    <pivotCache cacheId="181" r:id="rId13"/>
    <pivotCache cacheId="184" r:id="rId14"/>
    <pivotCache cacheId="187" r:id="rId15"/>
    <pivotCache cacheId="190" r:id="rId16"/>
    <pivotCache cacheId="193" r:id="rId17"/>
  </pivotCaches>
  <extLst>
    <ext xmlns:x14="http://schemas.microsoft.com/office/spreadsheetml/2009/9/main" uri="{876F7934-8845-4945-9796-88D515C7AA90}">
      <x14:pivotCaches>
        <pivotCache cacheId="10"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sample-data-excel-portfolio-project.xlsx!customers"/>
          <x15:modelTable id="calls" name="calls" connection="WorksheetConnection_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3" i="6" l="1"/>
  <c r="K59" i="6" s="1"/>
  <c r="I57" i="6"/>
  <c r="I58" i="6"/>
  <c r="I59" i="6"/>
  <c r="I60" i="6"/>
  <c r="H57" i="6"/>
  <c r="H58" i="6"/>
  <c r="H59" i="6"/>
  <c r="H60" i="6"/>
  <c r="H56" i="6"/>
  <c r="I56" i="6"/>
  <c r="J58" i="6" l="1"/>
  <c r="J56" i="6"/>
  <c r="J57" i="6"/>
  <c r="K58" i="6"/>
  <c r="J60" i="6"/>
  <c r="K56" i="6"/>
  <c r="K57" i="6"/>
  <c r="J59" i="6"/>
  <c r="K60" i="6"/>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s="1"/>
  <c r="K6" i="2" a="1"/>
  <c r="K6" i="2" s="1"/>
  <c r="K7" i="2" a="1"/>
  <c r="K7" i="2" s="1"/>
  <c r="K8" i="2" a="1"/>
  <c r="K8" i="2" s="1"/>
  <c r="K9" i="2" a="1"/>
  <c r="K9" i="2" s="1"/>
  <c r="K10" i="2" a="1"/>
  <c r="K10" i="2"/>
  <c r="K11" i="2" a="1"/>
  <c r="K11" i="2" s="1"/>
  <c r="K12" i="2" a="1"/>
  <c r="K12" i="2" s="1"/>
  <c r="K13" i="2" a="1"/>
  <c r="K13" i="2" s="1"/>
  <c r="K14" i="2" a="1"/>
  <c r="K14" i="2" s="1"/>
  <c r="K15" i="2" a="1"/>
  <c r="K15" i="2" s="1"/>
  <c r="K16" i="2" a="1"/>
  <c r="K16" i="2" s="1"/>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s="1"/>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s="1"/>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s="1"/>
  <c r="K75" i="2" a="1"/>
  <c r="K75" i="2" s="1"/>
  <c r="K76" i="2" a="1"/>
  <c r="K76" i="2"/>
  <c r="K77" i="2" a="1"/>
  <c r="K77" i="2"/>
  <c r="K78" i="2" a="1"/>
  <c r="K78" i="2" s="1"/>
  <c r="K79" i="2" a="1"/>
  <c r="K79" i="2" s="1"/>
  <c r="K80" i="2" a="1"/>
  <c r="K80" i="2" s="1"/>
  <c r="K81" i="2" a="1"/>
  <c r="K81" i="2" s="1"/>
  <c r="K82" i="2" a="1"/>
  <c r="K82" i="2" s="1"/>
  <c r="K83" i="2" a="1"/>
  <c r="K83" i="2" s="1"/>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s="1"/>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s="1"/>
  <c r="K140" i="2" a="1"/>
  <c r="K140" i="2" s="1"/>
  <c r="K141" i="2" a="1"/>
  <c r="K141" i="2" s="1"/>
  <c r="K142" i="2" a="1"/>
  <c r="K142" i="2" s="1"/>
  <c r="K143" i="2" a="1"/>
  <c r="K143" i="2"/>
  <c r="K144" i="2" a="1"/>
  <c r="K144" i="2" s="1"/>
  <c r="K145" i="2" a="1"/>
  <c r="K145" i="2" s="1"/>
  <c r="K146" i="2" a="1"/>
  <c r="K146" i="2" s="1"/>
  <c r="K147" i="2" a="1"/>
  <c r="K147" i="2" s="1"/>
  <c r="K148" i="2" a="1"/>
  <c r="K148" i="2" s="1"/>
  <c r="K149" i="2" a="1"/>
  <c r="K149" i="2" s="1"/>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s="1"/>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s="1"/>
  <c r="K192" i="2" a="1"/>
  <c r="K192" i="2" s="1"/>
  <c r="K193" i="2" a="1"/>
  <c r="K193" i="2"/>
  <c r="K194" i="2" a="1"/>
  <c r="K194" i="2" s="1"/>
  <c r="K195" i="2" a="1"/>
  <c r="K195" i="2" s="1"/>
  <c r="K196" i="2" a="1"/>
  <c r="K196" i="2" s="1"/>
  <c r="K197" i="2" a="1"/>
  <c r="K197" i="2" s="1"/>
  <c r="K198" i="2" a="1"/>
  <c r="K198" i="2" s="1"/>
  <c r="K199" i="2" a="1"/>
  <c r="K199" i="2" s="1"/>
  <c r="K200" i="2" a="1"/>
  <c r="K200" i="2" s="1"/>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s="1"/>
  <c r="K215" i="2" a="1"/>
  <c r="K215" i="2"/>
  <c r="K216" i="2" a="1"/>
  <c r="K216" i="2" s="1"/>
  <c r="K217" i="2" a="1"/>
  <c r="K217" i="2" s="1"/>
  <c r="K218" i="2" a="1"/>
  <c r="K218" i="2"/>
  <c r="K219" i="2" a="1"/>
  <c r="K219" i="2" s="1"/>
  <c r="K220" i="2" a="1"/>
  <c r="K220" i="2" s="1"/>
  <c r="K221" i="2" a="1"/>
  <c r="K221" i="2" s="1"/>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s="1"/>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s="1"/>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s="1"/>
  <c r="K545" i="2" a="1"/>
  <c r="K545" i="2" s="1"/>
  <c r="K546" i="2" a="1"/>
  <c r="K546" i="2" s="1"/>
  <c r="K547" i="2" a="1"/>
  <c r="K547" i="2" s="1"/>
  <c r="K548" i="2" a="1"/>
  <c r="K548" i="2" s="1"/>
  <c r="K549" i="2" a="1"/>
  <c r="K549" i="2"/>
  <c r="K550" i="2" a="1"/>
  <c r="K550" i="2"/>
  <c r="K551" i="2" a="1"/>
  <c r="K551" i="2" s="1"/>
  <c r="K552" i="2" a="1"/>
  <c r="K552" i="2" s="1"/>
  <c r="K553" i="2" a="1"/>
  <c r="K553" i="2" s="1"/>
  <c r="K554" i="2" a="1"/>
  <c r="K554" i="2" s="1"/>
  <c r="K555" i="2" a="1"/>
  <c r="K555" i="2" s="1"/>
  <c r="K556" i="2" a="1"/>
  <c r="K556" i="2"/>
  <c r="K557" i="2" a="1"/>
  <c r="K557" i="2" s="1"/>
  <c r="K558" i="2" a="1"/>
  <c r="K558" i="2" s="1"/>
  <c r="K559" i="2" a="1"/>
  <c r="K559" i="2" s="1"/>
  <c r="K560" i="2" a="1"/>
  <c r="K560" i="2" s="1"/>
  <c r="K561" i="2" a="1"/>
  <c r="K561" i="2" s="1"/>
  <c r="K562" i="2" a="1"/>
  <c r="K562" i="2" s="1"/>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s="1"/>
  <c r="K653" i="2" a="1"/>
  <c r="K653" i="2" s="1"/>
  <c r="K654" i="2" a="1"/>
  <c r="K654" i="2" s="1"/>
  <c r="K655" i="2" a="1"/>
  <c r="K655" i="2" s="1"/>
  <c r="K656" i="2" a="1"/>
  <c r="K656" i="2" s="1"/>
  <c r="K657" i="2" a="1"/>
  <c r="K657" i="2" s="1"/>
  <c r="K658" i="2" a="1"/>
  <c r="K658" i="2"/>
  <c r="K659" i="2" a="1"/>
  <c r="K659" i="2" s="1"/>
  <c r="K660" i="2" a="1"/>
  <c r="K660" i="2" s="1"/>
  <c r="K661" i="2" a="1"/>
  <c r="K661" i="2" s="1"/>
  <c r="K662" i="2" a="1"/>
  <c r="K662" i="2" s="1"/>
  <c r="K663" i="2" a="1"/>
  <c r="K663" i="2" s="1"/>
  <c r="K664" i="2" a="1"/>
  <c r="K664" i="2" s="1"/>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s="1"/>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s="1"/>
  <c r="K725" i="2" a="1"/>
  <c r="K725" i="2" s="1"/>
  <c r="K726" i="2" a="1"/>
  <c r="K726" i="2" s="1"/>
  <c r="K727" i="2" a="1"/>
  <c r="K727" i="2" s="1"/>
  <c r="K728" i="2" a="1"/>
  <c r="K728" i="2" s="1"/>
  <c r="K729" i="2" a="1"/>
  <c r="K729" i="2"/>
  <c r="K730" i="2" a="1"/>
  <c r="K730" i="2" s="1"/>
  <c r="K731" i="2" a="1"/>
  <c r="K731" i="2" s="1"/>
  <c r="K732" i="2" a="1"/>
  <c r="K732" i="2" s="1"/>
  <c r="K733" i="2" a="1"/>
  <c r="K733" i="2" s="1"/>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s="1"/>
  <c r="K745" i="2" a="1"/>
  <c r="K745" i="2" s="1"/>
  <c r="K746" i="2" a="1"/>
  <c r="K746" i="2" s="1"/>
  <c r="K747" i="2" a="1"/>
  <c r="K747" i="2" s="1"/>
  <c r="K748" i="2" a="1"/>
  <c r="K748" i="2" s="1"/>
  <c r="K749" i="2" a="1"/>
  <c r="K749" i="2" s="1"/>
  <c r="K750" i="2" a="1"/>
  <c r="K750" i="2" s="1"/>
  <c r="K751" i="2" a="1"/>
  <c r="K751" i="2" s="1"/>
  <c r="K752" i="2" a="1"/>
  <c r="K752" i="2" s="1"/>
  <c r="K753" i="2" a="1"/>
  <c r="K753" i="2"/>
  <c r="K754" i="2" a="1"/>
  <c r="K754" i="2" s="1"/>
  <c r="K755" i="2" a="1"/>
  <c r="K755" i="2" s="1"/>
  <c r="K756" i="2" a="1"/>
  <c r="K756" i="2" s="1"/>
  <c r="K757" i="2" a="1"/>
  <c r="K757" i="2" s="1"/>
  <c r="K758" i="2" a="1"/>
  <c r="K758" i="2" s="1"/>
  <c r="K759" i="2" a="1"/>
  <c r="K759" i="2"/>
  <c r="K760" i="2" a="1"/>
  <c r="K760" i="2"/>
  <c r="K761" i="2" a="1"/>
  <c r="K761" i="2" s="1"/>
  <c r="K762" i="2" a="1"/>
  <c r="K762" i="2" s="1"/>
  <c r="K763" i="2" a="1"/>
  <c r="K763" i="2" s="1"/>
  <c r="K764" i="2" a="1"/>
  <c r="K764" i="2" s="1"/>
  <c r="K765" i="2" a="1"/>
  <c r="K765" i="2"/>
  <c r="K766" i="2" a="1"/>
  <c r="K766" i="2"/>
  <c r="K767" i="2" a="1"/>
  <c r="K767" i="2" s="1"/>
  <c r="K768" i="2" a="1"/>
  <c r="K768" i="2" s="1"/>
  <c r="K769" i="2" a="1"/>
  <c r="K769" i="2" s="1"/>
  <c r="K770" i="2" a="1"/>
  <c r="K770" i="2" s="1"/>
  <c r="K771" i="2" a="1"/>
  <c r="K771" i="2" s="1"/>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s="1"/>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s="1"/>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s="1"/>
  <c r="K814" i="2" a="1"/>
  <c r="K814" i="2" s="1"/>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s="1"/>
  <c r="K998" i="2" a="1"/>
  <c r="K998" i="2" s="1"/>
  <c r="K999" i="2" a="1"/>
  <c r="K999" i="2" s="1"/>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D55CA1-5EF1-43BA-9BA3-9DECAABD100E}" keepAlive="1" name="ModelConnection_ExternalData_1" description="Data Model" type="5" refreshedVersion="6" minRefreshableVersion="5" saveData="1">
    <dbPr connection="Data Model Connection" command="DRILLTHROUGH MAXROWS 1000 SELECT FROM [Model] WHERE (([Measures].[Total Amount],[calls].[Representative].&amp;[R01])) RETURN [$calls].[Call number],[$calls].[Customer ID],[$calls].[Duration],[$calls].[Representative],[$calls].[Date of Call],[$calls].[Purchase Amount],[$calls].[Satisfaction Rating],[$calls].[FY],[$calls].[Day of week],[$calls].[Duration Bucket],[$calls].[Rating rounded],[$calls].[Date of Call (Month)],[$calls].[Date of Call (Month Index)]" commandType="4"/>
    <extLst>
      <ext xmlns:x15="http://schemas.microsoft.com/office/spreadsheetml/2010/11/main" uri="{DE250136-89BD-433C-8126-D09CA5730AF9}">
        <x15:connection id="" model="1"/>
      </ext>
    </extLst>
  </connection>
  <connection id="2" xr16:uid="{F6201AE4-31C9-47E8-82D2-4F506491D3EC}"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9D2D6FE4-AFF6-4F22-9154-AD3A4CB83756}" name="WorksheetConnection_sample-data-excel-portfolio-project.xlsx!calls" type="102" refreshedVersion="7" minRefreshableVersion="5">
    <extLst>
      <ext xmlns:x15="http://schemas.microsoft.com/office/spreadsheetml/2010/11/main" uri="{DE250136-89BD-433C-8126-D09CA5730AF9}">
        <x15:connection id="calls" autoDelete="1">
          <x15:rangePr sourceName="_xlcn.WorksheetConnection_sampledataexcelportfolioproject.xlsxcalls1"/>
        </x15:connection>
      </ext>
    </extLst>
  </connection>
  <connection id="4" xr16:uid="{7399FA2A-D453-42F6-A930-59DF66D6C34D}" name="WorksheetConnection_sample-data-excel-portfolio-project.xlsx!customers" type="102" refreshedVersion="7" minRefreshableVersion="5">
    <extLst>
      <ext xmlns:x15="http://schemas.microsoft.com/office/spreadsheetml/2010/11/main" uri="{DE250136-89BD-433C-8126-D09CA5730AF9}">
        <x15:connection id="customers">
          <x15:rangePr sourceName="_xlcn.WorksheetConnection_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<sst xmlns="http://schemas.openxmlformats.org/spreadsheetml/2006/main" count="4302" uniqueCount="1097">
  <si>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</si>
  <si>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</si>
  <si>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</si>
  <si>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</si>
  <si>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</si>
  <si>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</si>
  <si>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</si>
  <si>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</si>
  <si>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</si>
  <si>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</si>
  <si>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</si>
  <si>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</si>
  <si>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</si>
  <si>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</si>
  <si>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</si>
  <si>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</si>
  <si>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</si>
  <si>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</si>
  <si>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</si>
  <si>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</si>
  <si>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</si>
  <si>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</si>
  <si>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</si>
  <si>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</si>
  <si>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</si>
  <si>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</si>
  <si>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</si>
  <si>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</si>
  <si>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</si>
  <si>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</si>
  <si>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</si>
  <si>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</si>
  <si>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</si>
  <si>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</si>
  <si>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</si>
  <si>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</si>
  <si>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</si>
  <si>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</si>
  <si>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</si>
  <si>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</si>
  <si>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</si>
  <si>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</si>
  <si>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</si>
  <si>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</si>
  <si>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</si>
  <si>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</si>
  <si>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</si>
  <si>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</si>
  <si>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</si>
  <si>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</si>
  <si>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</si>
  <si>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</si>
  <si>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</si>
  <si>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</si>
  <si>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</si>
  <si>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</si>
  <si>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</si>
  <si>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</si>
  <si>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</si>
  <si>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</si>
  <si>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</si>
  <si>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</si>
  <si>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</si>
  <si>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</si>
  <si>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</si>
  <si>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</si>
  <si>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</si>
  <si>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</si>
  <si>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</si>
  <si>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</si>
  <si>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</si>
  <si>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</si>
  <si>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</si>
  <si>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</si>
  <si>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</si>
  <si>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</si>
  <si>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</si>
  <si>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</si>
  <si>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</si>
  <si>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</si>
  <si>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</si>
  <si>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</si>
  <si>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</si>
  <si>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</si>
  <si>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</si>
  <si>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</si>
  <si>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</si>
  <si>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</si>
  <si>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</si>
  <si>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</si>
  <si>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</si>
  <si>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</si>
  <si>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</si>
  <si>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</si>
  <si>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</si>
  <si>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</si>
  <si>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</si>
  <si>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</si>
  <si>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</si>
  <si>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</si>
  <si>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</si>
  <si>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</si>
  <si>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</si>
  <si>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</si>
  <si>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</si>
  <si>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</si>
  <si>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</si>
  <si>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</si>
  <si>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</si>
  <si>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</si>
  <si>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</si>
  <si>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</si>
  <si>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</si>
  <si>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</si>
  <si>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</si>
  <si>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</si>
  <si>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</si>
  <si>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</si>
  <si>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</si>
  <si>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</si>
  <si>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</si>
  <si>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</si>
  <si>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</si>
  <si>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</si>
  <si>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</si>
  <si>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</si>
  <si>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</si>
  <si>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</si>
  <si>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</si>
  <si>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</si>
  <si>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</si>
  <si>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</si>
  <si>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</si>
  <si>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</si>
  <si>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</si>
  <si>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</si>
  <si>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</si>
  <si>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</si>
  <si>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</si>
  <si>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</si>
  <si>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</si>
  <si>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</si>
  <si>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</si>
  <si>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</si>
  <si>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</si>
  <si>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</si>
  <si>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</si>
  <si>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</si>
  <si>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</si>
  <si>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</si>
  <si>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</si>
  <si>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</si>
  <si>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</si>
  <si>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</si>
  <si>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</si>
  <si>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</si>
  <si>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</si>
  <si>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</si>
  <si>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</si>
  <si>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</si>
  <si>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</si>
  <si>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</si>
  <si>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</si>
  <si>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</si>
  <si>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</si>
  <si>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</si>
  <si>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</si>
  <si>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</si>
  <si>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</si>
  <si>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</si>
  <si>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</si>
  <si>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</si>
  <si>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</si>
  <si>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</si>
  <si>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</si>
  <si>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</si>
  <si>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</si>
  <si>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</si>
  <si>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</si>
  <si>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</si>
  <si>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</si>
  <si>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</si>
  <si>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</si>
  <si>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</si>
  <si>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</si>
  <si>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</si>
  <si>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</si>
  <si>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</si>
  <si>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</si>
  <si>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</si>
  <si>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</si>
  <si>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</si>
  <si>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</si>
  <si>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</si>
  <si>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</si>
  <si>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</si>
  <si>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</si>
  <si>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</si>
  <si>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</si>
  <si>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</si>
  <si>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</si>
  <si>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</si>
  <si>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</si>
  <si>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</si>
  <si>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</si>
  <si>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</si>
  <si>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</si>
  <si>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</si>
  <si>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</si>
  <si>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</si>
  <si>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</si>
  <si>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</si>
  <si>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</si>
  <si>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</si>
  <si>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</si>
  <si>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</si>
  <si>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</si>
  <si>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</si>
  <si>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</si>
  <si>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</si>
  <si>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</si>
  <si>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</si>
  <si>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</si>
  <si>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</si>
  <si>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</si>
  <si>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</si>
  <si>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</si>
  <si>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</si>
  <si>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</si>
  <si>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</si>
  <si>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</si>
  <si>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</si>
  <si>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</si>
  <si>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</si>
  <si>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</si>
  <si>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</si>
  <si>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</si>
  <si>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</si>
  <si>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</si>
  <si>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</si>
  <si>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</si>
  <si>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</si>
  <si>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</si>
  <si>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</si>
  <si>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</si>
  <si>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</si>
  <si>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</si>
  <si>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</si>
  <si>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</si>
  <si>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</si>
  <si>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</si>
  <si>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</si>
  <si>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</si>
  <si>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</si>
  <si>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</si>
  <si>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</si>
  <si>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</si>
  <si>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</si>
  <si>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</si>
  <si>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</si>
  <si>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</si>
  <si>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</si>
  <si>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</si>
  <si>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</si>
  <si>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</si>
  <si>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</si>
  <si>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</si>
  <si>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</si>
  <si>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</si>
  <si>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</si>
  <si>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</si>
  <si>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</si>
  <si>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</si>
  <si>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</si>
  <si>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</si>
  <si>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</si>
  <si>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</si>
  <si>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</si>
  <si>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</si>
  <si>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</si>
  <si>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</si>
  <si>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</si>
  <si>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</si>
  <si>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</si>
  <si>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</si>
  <si>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</si>
  <si>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</si>
  <si>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</si>
  <si>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</si>
  <si>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</si>
  <si>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</si>
  <si>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</si>
  <si>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</si>
  <si>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</si>
  <si>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</si>
  <si>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</si>
  <si>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</si>
  <si>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</si>
  <si>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</si>
  <si>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</si>
  <si>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</si>
  <si>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</si>
  <si>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</si>
  <si>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</si>
  <si>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</si>
  <si>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</si>
  <si>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</si>
  <si>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</si>
  <si>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</si>
  <si>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</si>
  <si>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</si>
  <si>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</si>
  <si>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</si>
  <si>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</si>
  <si>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</si>
  <si>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</si>
  <si>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</si>
  <si>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</si>
  <si>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</si>
  <si>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</si>
  <si>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</si>
  <si>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</si>
  <si>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</si>
  <si>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</si>
  <si>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</si>
  <si>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</si>
  <si>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</si>
  <si>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</si>
  <si>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</si>
  <si>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</si>
  <si>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</si>
  <si>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</si>
  <si>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</si>
  <si>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</si>
  <si>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</si>
  <si>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</si>
  <si>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</si>
  <si>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</si>
  <si>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</si>
  <si>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</si>
  <si>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</si>
  <si>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</si>
  <si>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</si>
  <si>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</si>
  <si>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</si>
  <si>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</si>
  <si>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</si>
  <si>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</si>
  <si>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</si>
  <si>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</si>
  <si>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</si>
  <si>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</si>
  <si>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</si>
  <si>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</si>
  <si>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</si>
  <si>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</si>
  <si>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</si>
  <si>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</si>
  <si>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</si>
  <si>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</si>
  <si>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</si>
  <si>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</si>
  <si>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</si>
  <si>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</si>
  <si>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</si>
  <si>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</si>
  <si>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</si>
  <si>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</si>
  <si>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</si>
  <si>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</si>
  <si>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</si>
  <si>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</si>
  <si>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</si>
  <si>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</si>
  <si>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</si>
  <si>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</si>
  <si>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</si>
  <si>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</si>
  <si>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</si>
  <si>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</si>
  <si>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</si>
  <si>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</si>
  <si>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</si>
  <si>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</si>
  <si>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</si>
  <si>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</si>
  <si>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</si>
  <si>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</si>
  <si>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</si>
  <si>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</si>
  <si>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</si>
  <si>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</si>
  <si>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</si>
  <si>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</si>
  <si>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</si>
  <si>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</si>
  <si>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</si>
  <si>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</si>
  <si>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</si>
  <si>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</si>
  <si>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</si>
  <si>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</si>
  <si>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</si>
  <si>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</si>
  <si>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</si>
  <si>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</si>
  <si>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</si>
  <si>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</si>
  <si>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</si>
  <si>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</si>
  <si>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</si>
  <si>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</si>
  <si>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</si>
  <si>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</si>
  <si>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</si>
  <si>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</si>
  <si>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</si>
  <si>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</si>
  <si>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</si>
  <si>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</si>
  <si>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</si>
  <si>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</si>
  <si>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</si>
  <si>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</si>
  <si>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</si>
  <si>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</si>
  <si>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</si>
  <si>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</si>
  <si>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</si>
  <si>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</si>
  <si>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</si>
  <si>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</si>
  <si>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</si>
  <si>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</si>
  <si>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</si>
  <si>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</si>
  <si>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</si>
  <si>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</si>
  <si>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</si>
  <si>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</si>
  <si>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</si>
  <si>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</si>
  <si>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</si>
  <si>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</si>
  <si>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</si>
  <si>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</si>
  <si>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</si>
  <si>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</si>
  <si>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</si>
  <si>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</si>
  <si>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</si>
  <si>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</si>
  <si>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</si>
  <si>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</si>
  <si>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</si>
  <si>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</si>
  <si>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</si>
  <si>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</si>
  <si>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</si>
  <si>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</si>
  <si>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</si>
  <si>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</si>
  <si>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</si>
  <si>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</si>
  <si>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</si>
  <si>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</si>
  <si>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</si>
  <si>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</si>
  <si>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</si>
  <si>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</si>
  <si>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</si>
  <si>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</si>
  <si>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</si>
  <si>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</si>
  <si>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</si>
  <si>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</si>
  <si>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</si>
  <si>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</si>
  <si>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</si>
  <si>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</si>
  <si>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</si>
  <si>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</si>
  <si>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</si>
  <si>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</si>
  <si>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</si>
  <si>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</si>
  <si>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</si>
  <si>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</si>
  <si>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</si>
  <si>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</si>
  <si>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</si>
  <si>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</si>
  <si>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</si>
  <si>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</si>
  <si>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</si>
  <si>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</si>
  <si>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</si>
  <si>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</si>
  <si>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</si>
  <si>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</si>
  <si>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</si>
  <si>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</si>
  <si>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</si>
  <si>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</si>
  <si>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</si>
  <si>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</si>
  <si>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</si>
  <si>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</si>
  <si>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</si>
  <si>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</si>
  <si>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</si>
  <si>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</si>
  <si>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</si>
  <si>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</si>
  <si>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</si>
  <si>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</si>
  <si>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</si>
  <si>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</si>
  <si>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</si>
  <si>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</si>
  <si>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</si>
  <si>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</si>
  <si>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</si>
  <si>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</si>
  <si>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</si>
  <si>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</si>
  <si>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</si>
  <si>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</si>
  <si>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</si>
  <si>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</si>
  <si>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</si>
  <si>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</si>
  <si>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</si>
  <si>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</si>
  <si>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</si>
  <si>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</si>
  <si>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</si>
  <si>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</si>
  <si>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</si>
  <si>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</si>
  <si>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</si>
  <si>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</si>
  <si>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</si>
  <si>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</si>
  <si>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</si>
  <si>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</si>
  <si>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</si>
  <si>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</si>
  <si>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</si>
  <si>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</si>
  <si>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</si>
  <si>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</si>
  <si>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</si>
  <si>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</si>
  <si>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</si>
  <si>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</si>
  <si>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</si>
  <si>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</si>
  <si>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</si>
  <si>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</si>
  <si>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</si>
  <si>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</si>
  <si>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</si>
  <si>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</si>
  <si>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</si>
  <si>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</si>
  <si>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</si>
  <si>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</si>
  <si>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</si>
  <si>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</si>
  <si>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</si>
  <si>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</si>
  <si>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</si>
  <si>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</si>
  <si>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</si>
  <si>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</si>
  <si>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</si>
  <si>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</si>
  <si>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</si>
  <si>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</si>
  <si>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</si>
  <si>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</si>
  <si>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</si>
  <si>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</si>
  <si>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</si>
  <si>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</si>
  <si>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</si>
  <si>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</si>
  <si>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</si>
  <si>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</si>
  <si>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</si>
  <si>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</si>
  <si>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</si>
  <si>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</si>
  <si>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</si>
  <si>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</si>
  <si>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</si>
  <si>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</si>
  <si>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</si>
  <si>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</si>
  <si>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</si>
  <si>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</si>
  <si>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</si>
  <si>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</si>
  <si>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</si>
  <si>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</si>
  <si>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</si>
  <si>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</si>
  <si>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</si>
  <si>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</si>
  <si>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</si>
  <si>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</si>
  <si>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</si>
  <si>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</si>
  <si>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</si>
  <si>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</si>
  <si>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</si>
  <si>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</si>
  <si>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</si>
  <si>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</si>
  <si>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</si>
  <si>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</si>
  <si>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</si>
  <si>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</si>
  <si>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</si>
  <si>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</si>
  <si>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</si>
  <si>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</si>
  <si>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</si>
  <si>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</si>
  <si>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</si>
  <si>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</si>
  <si>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</si>
  <si>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</si>
  <si>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</si>
  <si>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</si>
  <si>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</si>
  <si>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</si>
  <si>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</si>
  <si>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</si>
  <si>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</si>
  <si>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</si>
  <si>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</si>
  <si>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</si>
  <si>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</si>
  <si>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</si>
  <si>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</si>
  <si>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</si>
  <si>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</si>
  <si>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</si>
  <si>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</si>
  <si>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</si>
  <si>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</si>
  <si>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</si>
  <si>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</si>
  <si>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</si>
  <si>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</si>
  <si>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</si>
  <si>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</si>
  <si>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</si>
  <si>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</si>
  <si>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</si>
  <si>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</si>
  <si>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</si>
  <si>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</si>
  <si>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</si>
  <si>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</si>
  <si>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</si>
  <si>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</si>
  <si>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</si>
  <si>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</si>
  <si>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</si>
  <si>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</si>
  <si>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</si>
  <si>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</si>
  <si>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</si>
  <si>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</si>
  <si>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</si>
  <si>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</si>
  <si>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</si>
  <si>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</si>
  <si>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</si>
  <si>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</si>
  <si>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</si>
  <si>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</si>
  <si>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</si>
  <si>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</si>
  <si>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</si>
  <si>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</si>
  <si>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</si>
  <si>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</si>
  <si>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</si>
  <si>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</si>
  <si>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</si>
  <si>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</si>
  <si>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</si>
  <si>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</si>
  <si>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</si>
  <si>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</si>
  <si>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</si>
  <si>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</si>
  <si>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</si>
  <si>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</si>
  <si>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</si>
  <si>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</si>
  <si>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</si>
  <si>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</si>
  <si>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</si>
  <si>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</si>
  <si>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</si>
  <si>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</si>
  <si>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</si>
  <si>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</si>
  <si>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</si>
  <si>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</si>
  <si>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</si>
  <si>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</si>
  <si>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</si>
  <si>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</si>
  <si>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</si>
  <si>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</si>
  <si>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</si>
  <si>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</si>
  <si>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</si>
  <si>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</si>
  <si>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</si>
  <si>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</si>
  <si>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</si>
  <si>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</si>
  <si>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</si>
  <si>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</si>
  <si>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</si>
  <si>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</si>
  <si>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</si>
  <si>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</si>
  <si>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</si>
  <si>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</si>
  <si>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</si>
  <si>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</si>
  <si>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</si>
  <si>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</si>
  <si>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</si>
  <si>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</si>
  <si>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</si>
  <si>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</si>
  <si>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</si>
  <si>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</si>
  <si>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</si>
  <si>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</si>
  <si>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</si>
  <si>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</si>
  <si>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</si>
  <si>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</si>
  <si>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</si>
  <si>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</si>
  <si>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</si>
  <si>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</si>
  <si>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</si>
  <si>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</si>
  <si>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</si>
  <si>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</si>
  <si>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</si>
  <si>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</si>
  <si>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</si>
  <si>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</si>
  <si>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</si>
  <si>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</si>
  <si>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</si>
  <si>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</si>
  <si>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</si>
  <si>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</si>
  <si>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</si>
  <si>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</si>
  <si>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</si>
  <si>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</si>
  <si>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</si>
  <si>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</si>
  <si>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</si>
  <si>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</si>
  <si>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</si>
  <si>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</si>
  <si>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</si>
  <si>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</si>
  <si>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</si>
  <si>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</si>
  <si>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</si>
  <si>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</si>
  <si>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</si>
  <si>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</si>
  <si>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</si>
  <si>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</si>
  <si>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</si>
  <si>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</si>
  <si>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</si>
  <si>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</si>
  <si>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</si>
  <si>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</si>
  <si>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</si>
  <si>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</si>
  <si>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</si>
  <si>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</si>
  <si>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</si>
  <si>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</si>
  <si>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</si>
  <si>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</si>
  <si>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</si>
  <si>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</si>
  <si>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</si>
  <si>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</si>
  <si>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</si>
  <si>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</si>
  <si>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</si>
  <si>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</si>
  <si>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</si>
  <si>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</si>
  <si>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</si>
  <si>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</si>
  <si>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</si>
  <si>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</si>
  <si>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</si>
  <si>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</si>
  <si>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</si>
  <si>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</si>
  <si>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</si>
  <si>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</si>
  <si>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</si>
  <si>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</si>
  <si>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</si>
  <si>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</si>
  <si>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</si>
  <si>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</si>
  <si>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</si>
  <si>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</si>
  <si>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</si>
  <si>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</si>
  <si>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</si>
  <si>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</si>
  <si>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</si>
  <si>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</si>
  <si>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</si>
  <si>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</si>
  <si>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</si>
  <si>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</si>
  <si>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</si>
  <si>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</si>
  <si>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</si>
  <si>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</si>
  <si>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</si>
  <si>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</si>
  <si>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</si>
  <si>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</si>
  <si>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</si>
  <si>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</si>
  <si>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</si>
  <si>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</si>
  <si>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</si>
  <si>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</si>
  <si>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</si>
  <si>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</si>
  <si>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</si>
  <si>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</si>
  <si>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</si>
  <si>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</si>
  <si>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</si>
  <si>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</si>
  <si>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</si>
  <si>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</si>
  <si>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</si>
  <si>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</si>
  <si>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</si>
  <si>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</si>
  <si>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</si>
  <si>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</si>
  <si>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</si>
  <si>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</si>
  <si>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</si>
  <si>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</si>
  <si>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</si>
  <si>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</si>
  <si>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</si>
  <si>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</si>
  <si>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</si>
  <si>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</si>
  <si>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</si>
  <si>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</si>
  <si>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</si>
  <si>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</si>
  <si>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</si>
  <si>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</si>
  <si>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</si>
  <si>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</si>
  <si>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</si>
  <si>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</si>
  <si>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</si>
  <si>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</si>
  <si>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</si>
  <si>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</si>
  <si>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</si>
  <si>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</si>
  <si>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</si>
  <si>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</si>
  <si>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</si>
  <si>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</si>
  <si>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</si>
  <si>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</si>
  <si>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</si>
  <si>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</si>
  <si>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</si>
  <si>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</si>
  <si>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</si>
  <si>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</si>
  <si>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</si>
  <si>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</si>
  <si>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</si>
  <si>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</si>
  <si>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</si>
  <si>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</si>
  <si>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</si>
  <si>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</si>
  <si>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</si>
  <si>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</si>
  <si>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</si>
  <si>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</si>
  <si>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</si>
  <si>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</si>
  <si>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</si>
  <si>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</si>
  <si>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</si>
  <si>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</si>
  <si>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</si>
  <si>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</si>
  <si>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</si>
  <si>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</si>
  <si>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</si>
  <si>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</si>
  <si>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</si>
  <si>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</si>
  <si>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</si>
  <si>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</si>
  <si>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</si>
  <si>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</si>
  <si>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</si>
  <si>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</si>
  <si>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</si>
  <si>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</si>
  <si>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</si>
  <si>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</si>
  <si>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</si>
  <si>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</si>
  <si>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</si>
  <si>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</si>
  <si>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</si>
  <si>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</si>
  <si>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</si>
  <si>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</si>
  <si>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</si>
  <si>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</si>
  <si>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</si>
  <si>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</si>
  <si>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</si>
  <si>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</si>
  <si>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</si>
  <si>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</si>
  <si>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</si>
  <si>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</si>
  <si>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</si>
  <si>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</si>
  <si>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</si>
  <si>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</si>
  <si>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</si>
  <si>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</si>
  <si>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</si>
  <si>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</si>
  <si>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</si>
  <si>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</si>
  <si>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</si>
  <si>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</si>
  <si>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</si>
  <si>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</si>
  <si>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</si>
  <si>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</si>
  <si>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</si>
  <si>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</si>
  <si>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</si>
  <si>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</si>
  <si>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</si>
  <si>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</si>
  <si>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</si>
  <si>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</si>
  <si>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</si>
  <si>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</si>
  <si>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</si>
  <si>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</si>
  <si>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</si>
  <si>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</si>
  <si>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</si>
  <si>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</si>
  <si>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</si>
  <si>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</si>
  <si>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</si>
  <si>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</si>
  <si>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</si>
  <si>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</si>
  <si>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</si>
  <si>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</si>
  <si>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</si>
  <si>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</si>
  <si>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</si>
  <si>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</si>
  <si>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</si>
  <si>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</si>
  <si>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</si>
  <si>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</si>
  <si>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</si>
  <si>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</si>
  <si>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</si>
  <si>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</si>
  <si>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</si>
  <si>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</si>
  <si>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</si>
  <si>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</si>
  <si>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</si>
  <si>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</si>
  <si>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</si>
  <si>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</si>
  <si>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</si>
  <si>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</si>
  <si>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</si>
  <si>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</si>
  <si>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</si>
  <si>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</si>
  <si>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</si>
  <si>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</si>
  <si>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</si>
  <si>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</si>
  <si>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</si>
  <si>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</si>
  <si>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</si>
  <si>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</si>
  <si>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</si>
  <si>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</si>
  <si>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</si>
  <si>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</si>
  <si>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</si>
  <si>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</si>
  <si>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Avg rating</t>
  </si>
  <si>
    <t>5*calls</t>
  </si>
  <si>
    <t xml:space="preserve"> </t>
  </si>
  <si>
    <t>Jan</t>
  </si>
  <si>
    <t>Feb</t>
  </si>
  <si>
    <t>Mar</t>
  </si>
  <si>
    <t>Apr</t>
  </si>
  <si>
    <t>May</t>
  </si>
  <si>
    <t>Jun</t>
  </si>
  <si>
    <t>Jul</t>
  </si>
  <si>
    <t>Aug</t>
  </si>
  <si>
    <t>Sep</t>
  </si>
  <si>
    <t>Oct</t>
  </si>
  <si>
    <t>Nov</t>
  </si>
  <si>
    <t>Dec</t>
  </si>
  <si>
    <t>Row Labels</t>
  </si>
  <si>
    <t>Grand Total</t>
  </si>
  <si>
    <t>Call Count2</t>
  </si>
  <si>
    <t>Friday</t>
  </si>
  <si>
    <t>Monday</t>
  </si>
  <si>
    <t>Saturday</t>
  </si>
  <si>
    <t>Sunday</t>
  </si>
  <si>
    <t>Thursday</t>
  </si>
  <si>
    <t>Tuesday</t>
  </si>
  <si>
    <t>Wednesday</t>
  </si>
  <si>
    <t>for graph</t>
  </si>
  <si>
    <t>calls[Call number]</t>
  </si>
  <si>
    <t>calls[Customer ID]</t>
  </si>
  <si>
    <t>calls[Duration]</t>
  </si>
  <si>
    <t>calls[Representative]</t>
  </si>
  <si>
    <t>calls[Date of Call]</t>
  </si>
  <si>
    <t>calls[Purchase Amount]</t>
  </si>
  <si>
    <t>calls[Satisfaction Rating]</t>
  </si>
  <si>
    <t>calls[FY]</t>
  </si>
  <si>
    <t>calls[Day of week]</t>
  </si>
  <si>
    <t>calls[Duration Bucket]</t>
  </si>
  <si>
    <t>calls[Rating rounded]</t>
  </si>
  <si>
    <t>calls[Date of Call (Month)]</t>
  </si>
  <si>
    <t>calls[Date of Call (Month Index)]</t>
  </si>
  <si>
    <t>More than 2 hours</t>
  </si>
  <si>
    <t>30 to 60 mins</t>
  </si>
  <si>
    <t>1 to 2 hours</t>
  </si>
  <si>
    <t>10 to 30 mins</t>
  </si>
  <si>
    <t>Under 10 mins</t>
  </si>
  <si>
    <t>Data returned for Total Amount, R01 (First 1000 rows).</t>
  </si>
  <si>
    <t>Rep</t>
  </si>
  <si>
    <t>Calls</t>
  </si>
  <si>
    <t>Amount</t>
  </si>
  <si>
    <t>Sel calls</t>
  </si>
  <si>
    <t>Sel Amount</t>
  </si>
  <si>
    <t>Selected rep</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</si>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</sst>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09]d\-mmm\-yy;@"/>
    <numFmt numFmtId="165" formatCode="\$#,##0;\(\$#,##0\);\$#,##0"/>
    <numFmt numFmtId="166" formatCode="0.0"/>
    <numFmt numFmtId="167" formatCode="&quot;$&quot;#,###.0,&quot;K&quot;"/>
  </numFmts>
  <fonts count="4" x14ac:knownFonts="1">
    <font>
      <sz val="11"/>
      <color theme="1"/>
      <name val="Calibri"/>
      <family val="2"/>
      <scheme val="minor"/>
    </font>
    <font>
      <b/>
      <sz val="11"/>
      <color theme="1"/>
      <name val="Calibri"/>
      <family val="2"/>
      <scheme val="minor"/>
    </font>
    <font>
      <sz val="8"/>
      <name val="Calibri"/>
      <family val="2"/>
      <scheme val="minor"/>
    </font>
    <font>
      <sz val="18"/>
      <color theme="1"/>
      <name val="Aptos ExtraBold"/>
      <family val="2"/>
    </font>
  </fonts>
  <fills count="5">
    <fill>
      <patternFill patternType="none"/>
    </fill>
    <fill>
      <patternFill patternType="gray125"/>
    </fill>
    <fill>
      <patternFill patternType="solid">
        <fgColor theme="7"/>
        <bgColor indexed="64"/>
      </patternFill>
    </fill>
    <fill>
      <patternFill patternType="solid">
        <fgColor theme="0" tint="-0.14999847407452621"/>
        <bgColor indexed="64"/>
      </patternFill>
    </fill>
    <fill>
      <patternFill patternType="solid">
        <fgColor theme="3"/>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38">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0" fontId="0" fillId="0" borderId="0" xfId="0" pivotButton="1"/>
    <xf numFmtId="14" fontId="0" fillId="0" borderId="0" xfId="0" applyNumberFormat="1"/>
    <xf numFmtId="0" fontId="0" fillId="0" borderId="0" xfId="0" applyAlignment="1">
      <alignment horizontal="left"/>
    </xf>
    <xf numFmtId="167"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4" borderId="0" xfId="0" applyFont="1" applyFill="1" applyAlignment="1">
      <alignment horizontal="left"/>
    </xf>
  </cellXfs>
  <cellStyles count="1">
    <cellStyle name="Normal" xfId="0" builtinId="0"/>
  </cellStyles>
  <dxfs count="71">
    <dxf>
      <fill>
        <patternFill patternType="solid">
          <bgColor theme="0" tint="-0.14999847407452621"/>
        </patternFill>
      </fill>
    </dxf>
    <dxf>
      <fill>
        <patternFill>
          <bgColor theme="7" tint="0.59999389629810485"/>
        </patternFill>
      </fill>
    </dxf>
    <dxf>
      <font>
        <color theme="1"/>
      </font>
    </dxf>
    <dxf>
      <fill>
        <patternFill>
          <bgColor theme="3"/>
        </patternFill>
      </fill>
    </dxf>
    <dxf>
      <fill>
        <patternFill patternType="solid">
          <bgColor theme="0" tint="-0.14999847407452621"/>
        </patternFill>
      </fill>
    </dxf>
    <dxf>
      <fill>
        <patternFill>
          <bgColor theme="7" tint="0.59999389629810485"/>
        </patternFill>
      </fill>
    </dxf>
    <dxf>
      <font>
        <color theme="1"/>
      </font>
    </dxf>
    <dxf>
      <fill>
        <patternFill>
          <bgColor theme="3"/>
        </patternFill>
      </fill>
    </dxf>
    <dxf>
      <fill>
        <patternFill patternType="solid">
          <bgColor theme="0" tint="-0.14999847407452621"/>
        </patternFill>
      </fill>
    </dxf>
    <dxf>
      <fill>
        <patternFill>
          <bgColor theme="7" tint="0.59999389629810485"/>
        </patternFill>
      </fill>
    </dxf>
    <dxf>
      <font>
        <color theme="1"/>
      </font>
    </dxf>
    <dxf>
      <fill>
        <patternFill>
          <bgColor theme="3"/>
        </patternFill>
      </fill>
    </dxf>
    <dxf>
      <fill>
        <patternFill patternType="solid">
          <bgColor theme="0" tint="-0.14999847407452621"/>
        </patternFill>
      </fill>
    </dxf>
    <dxf>
      <fill>
        <patternFill>
          <bgColor theme="7" tint="0.59999389629810485"/>
        </patternFill>
      </fill>
    </dxf>
    <dxf>
      <font>
        <color theme="1"/>
      </font>
    </dxf>
    <dxf>
      <fill>
        <patternFill>
          <bgColor theme="3"/>
        </patternFill>
      </fill>
    </dxf>
    <dxf>
      <fill>
        <patternFill patternType="solid">
          <bgColor theme="0" tint="-0.14999847407452621"/>
        </patternFill>
      </fill>
    </dxf>
    <dxf>
      <fill>
        <patternFill>
          <bgColor theme="7" tint="0.59999389629810485"/>
        </patternFill>
      </fill>
    </dxf>
    <dxf>
      <font>
        <color theme="1"/>
      </font>
    </dxf>
    <dxf>
      <fill>
        <patternFill>
          <bgColor theme="3"/>
        </patternFill>
      </fill>
    </dxf>
    <dxf>
      <fill>
        <patternFill patternType="solid">
          <bgColor theme="0" tint="-0.14999847407452621"/>
        </patternFill>
      </fill>
    </dxf>
    <dxf>
      <fill>
        <patternFill>
          <bgColor theme="7" tint="0.59999389629810485"/>
        </patternFill>
      </fill>
    </dxf>
    <dxf>
      <font>
        <color theme="1"/>
      </font>
    </dxf>
    <dxf>
      <fill>
        <patternFill>
          <bgColor theme="3"/>
        </patternFill>
      </fill>
    </dxf>
    <dxf>
      <fill>
        <patternFill patternType="solid">
          <bgColor theme="0" tint="-0.14999847407452621"/>
        </patternFill>
      </fill>
    </dxf>
    <dxf>
      <fill>
        <patternFill>
          <bgColor theme="7" tint="0.59999389629810485"/>
        </patternFill>
      </fill>
    </dxf>
    <dxf>
      <font>
        <color theme="1"/>
      </font>
    </dxf>
    <dxf>
      <fill>
        <patternFill>
          <bgColor theme="3"/>
        </patternFill>
      </fill>
    </dxf>
    <dxf>
      <fill>
        <patternFill patternType="solid">
          <bgColor theme="0" tint="-0.14999847407452621"/>
        </patternFill>
      </fill>
    </dxf>
    <dxf>
      <fill>
        <patternFill>
          <bgColor theme="7" tint="0.59999389629810485"/>
        </patternFill>
      </fill>
    </dxf>
    <dxf>
      <font>
        <color theme="1"/>
      </font>
    </dxf>
    <dxf>
      <fill>
        <patternFill>
          <bgColor theme="3"/>
        </patternFill>
      </fill>
    </dxf>
    <dxf>
      <fill>
        <patternFill patternType="solid">
          <bgColor theme="0" tint="-0.14999847407452621"/>
        </patternFill>
      </fill>
    </dxf>
    <dxf>
      <fill>
        <patternFill>
          <bgColor theme="7" tint="0.59999389629810485"/>
        </patternFill>
      </fill>
    </dxf>
    <dxf>
      <font>
        <color theme="1"/>
      </font>
    </dxf>
    <dxf>
      <fill>
        <patternFill>
          <bgColor theme="3"/>
        </patternFill>
      </fill>
    </dxf>
    <dxf>
      <fill>
        <patternFill patternType="solid">
          <bgColor theme="0" tint="-0.14999847407452621"/>
        </patternFill>
      </fill>
    </dxf>
    <dxf>
      <fill>
        <patternFill>
          <bgColor theme="7" tint="0.59999389629810485"/>
        </patternFill>
      </fill>
    </dxf>
    <dxf>
      <font>
        <color theme="1"/>
      </font>
    </dxf>
    <dxf>
      <fill>
        <patternFill>
          <bgColor theme="3"/>
        </patternFill>
      </fill>
    </dxf>
    <dxf>
      <fill>
        <patternFill>
          <bgColor theme="3" tint="0.39997558519241921"/>
        </patternFill>
      </fill>
    </dxf>
    <dxf>
      <fill>
        <patternFill>
          <bgColor theme="3"/>
        </patternFill>
      </fill>
    </dxf>
    <dxf>
      <fill>
        <patternFill patternType="solid">
          <bgColor theme="0" tint="-0.14999847407452621"/>
        </patternFill>
      </fill>
    </dxf>
    <dxf>
      <fill>
        <patternFill>
          <bgColor theme="7" tint="0.59999389629810485"/>
        </patternFill>
      </fill>
    </dxf>
    <dxf>
      <font>
        <color theme="1"/>
      </font>
    </dxf>
    <dxf>
      <fill>
        <patternFill>
          <bgColor theme="3" tint="0.39997558519241921"/>
        </patternFill>
      </fill>
    </dxf>
    <dxf>
      <fill>
        <patternFill patternType="solid">
          <bgColor theme="0" tint="-0.14999847407452621"/>
        </patternFill>
      </fill>
    </dxf>
    <dxf>
      <fill>
        <patternFill>
          <bgColor theme="7" tint="0.59999389629810485"/>
        </patternFill>
      </fill>
    </dxf>
    <dxf>
      <font>
        <color theme="1"/>
      </font>
    </dxf>
    <dxf>
      <fill>
        <patternFill>
          <bgColor theme="3" tint="0.39997558519241921"/>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color theme="1"/>
      </font>
    </dxf>
    <dxf>
      <fill>
        <patternFill>
          <bgColor theme="7" tint="0.59999389629810485"/>
        </patternFill>
      </fill>
    </dxf>
    <dxf>
      <fill>
        <patternFill patternType="solid">
          <bgColor theme="0" tint="-0.14999847407452621"/>
        </patternFill>
      </fill>
    </dxf>
    <dxf>
      <numFmt numFmtId="168" formatCode="m/d/yyyy"/>
    </dxf>
    <dxf>
      <font>
        <b/>
        <color theme="1"/>
      </font>
      <border>
        <bottom style="thin">
          <color rgb="FF4F81BD"/>
        </bottom>
        <vertical/>
        <horizontal/>
      </border>
    </dxf>
    <dxf>
      <font>
        <color theme="1"/>
      </font>
      <border>
        <left style="thin">
          <color rgb="FF4F81BD"/>
        </left>
        <right style="thin">
          <color rgb="FF4F81BD"/>
        </right>
        <top style="thin">
          <color rgb="FF4F81BD"/>
        </top>
        <bottom style="thin">
          <color rgb="FF4F81BD"/>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70"/>
    </tableStyle>
    <tableStyle name="SlicerStyleOther2 2" pivot="0" table="0" count="10" xr9:uid="{6D3C0A30-E32B-4F0E-A89B-1CBFF1463020}">
      <tableStyleElement type="wholeTable" dxfId="69"/>
      <tableStyleElement type="headerRow" dxfId="68"/>
    </tableStyle>
  </tableStyles>
  <extLst>
    <ext xmlns:x14="http://schemas.microsoft.com/office/spreadsheetml/2009/9/main" uri="{46F421CA-312F-682f-3DD2-61675219B42D}">
      <x14:dxfs count="8">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patternFill patternType="solid">
              <fgColor auto="1"/>
              <bgColor theme="0" tint="-0.24994659260841701"/>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Other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theme" Target="theme/theme1.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28" Type="http://schemas.openxmlformats.org/officeDocument/2006/relationships/powerPivotData" Target="model/item.data"/><Relationship Id="rId10" Type="http://schemas.openxmlformats.org/officeDocument/2006/relationships/pivotCacheDefinition" Target="pivotCache/pivotCacheDefinition4.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 Id="rId27" Type="http://schemas.microsoft.com/office/2017/06/relationships/rdRichValueTypes" Target="richData/rdRichValueTypes.xml"/><Relationship Id="rId30" Type="http://schemas.microsoft.com/office/2022/10/relationships/richValueRel" Target="richData/richValueRel.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PROJECT.xlsx]Sheet2!PivotTable1</c:name>
    <c:fmtId val="0"/>
  </c:pivotSource>
  <c:chart>
    <c:autoTitleDeleted val="0"/>
    <c:plotArea>
      <c:layout/>
      <c:barChart>
        <c:barDir val="col"/>
        <c:grouping val="clustered"/>
        <c:varyColors val="0"/>
        <c:dLbls>
          <c:showLegendKey val="0"/>
          <c:showVal val="0"/>
          <c:showCatName val="0"/>
          <c:showSerName val="0"/>
          <c:showPercent val="0"/>
          <c:showBubbleSize val="0"/>
        </c:dLbls>
        <c:gapWidth val="219"/>
        <c:overlap val="-27"/>
        <c:axId val="114549071"/>
        <c:axId val="114548591"/>
      </c:barChart>
      <c:catAx>
        <c:axId val="11454907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48591"/>
        <c:crosses val="autoZero"/>
        <c:auto val="1"/>
        <c:lblAlgn val="ctr"/>
        <c:lblOffset val="100"/>
        <c:noMultiLvlLbl val="0"/>
      </c:catAx>
      <c:valAx>
        <c:axId val="114548591"/>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49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952311891603843"/>
          <c:y val="5.30955039455240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4728162225154266E-2"/>
          <c:y val="0.18333004996242055"/>
          <c:w val="0.87029396325459318"/>
          <c:h val="0.72030709704380558"/>
        </c:manualLayout>
      </c:layout>
      <c:barChart>
        <c:barDir val="bar"/>
        <c:grouping val="clustered"/>
        <c:varyColors val="0"/>
        <c:ser>
          <c:idx val="0"/>
          <c:order val="0"/>
          <c:spPr>
            <a:solidFill>
              <a:schemeClr val="accent1"/>
            </a:solidFill>
            <a:ln>
              <a:noFill/>
            </a:ln>
            <a:effectLst/>
          </c:spPr>
          <c:invertIfNegative val="0"/>
          <c:cat>
            <c:numRef>
              <c:f>pivot!$G$61:$G$65</c:f>
              <c:numCache>
                <c:formatCode>General</c:formatCode>
                <c:ptCount val="5"/>
              </c:numCache>
            </c:numRef>
          </c:cat>
          <c:val>
            <c:numRef>
              <c:f>pivot!$H$56:$H$60</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61E9-48C0-AD8C-B6A2CE12A841}"/>
            </c:ext>
          </c:extLst>
        </c:ser>
        <c:dLbls>
          <c:showLegendKey val="0"/>
          <c:showVal val="0"/>
          <c:showCatName val="0"/>
          <c:showSerName val="0"/>
          <c:showPercent val="0"/>
          <c:showBubbleSize val="0"/>
        </c:dLbls>
        <c:gapWidth val="182"/>
        <c:axId val="117575791"/>
        <c:axId val="194429439"/>
      </c:barChart>
      <c:catAx>
        <c:axId val="11757579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429439"/>
        <c:crosses val="autoZero"/>
        <c:auto val="1"/>
        <c:lblAlgn val="ctr"/>
        <c:lblOffset val="100"/>
        <c:noMultiLvlLbl val="0"/>
      </c:catAx>
      <c:valAx>
        <c:axId val="1944294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75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PROJECT.xlsx]pivot!Weekday trend</c:name>
    <c:fmtId val="1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pivot!$B$42</c:f>
              <c:strCache>
                <c:ptCount val="1"/>
                <c:pt idx="0">
                  <c:v>Total</c:v>
                </c:pt>
              </c:strCache>
            </c:strRef>
          </c:tx>
          <c:spPr>
            <a:solidFill>
              <a:schemeClr val="tx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pivot!$A$43:$A$50</c:f>
              <c:strCache>
                <c:ptCount val="7"/>
                <c:pt idx="0">
                  <c:v>Sunday</c:v>
                </c:pt>
                <c:pt idx="1">
                  <c:v>Monday</c:v>
                </c:pt>
                <c:pt idx="2">
                  <c:v>Tuesday</c:v>
                </c:pt>
                <c:pt idx="3">
                  <c:v>Wednesday</c:v>
                </c:pt>
                <c:pt idx="4">
                  <c:v>Thursday</c:v>
                </c:pt>
                <c:pt idx="5">
                  <c:v>Friday</c:v>
                </c:pt>
                <c:pt idx="6">
                  <c:v>Saturday</c:v>
                </c:pt>
              </c:strCache>
            </c:strRef>
          </c:cat>
          <c:val>
            <c:numRef>
              <c:f>pivot!$B$43:$B$50</c:f>
              <c:numCache>
                <c:formatCode>#,##0</c:formatCode>
                <c:ptCount val="7"/>
                <c:pt idx="0">
                  <c:v>27</c:v>
                </c:pt>
                <c:pt idx="1">
                  <c:v>22</c:v>
                </c:pt>
                <c:pt idx="2">
                  <c:v>27</c:v>
                </c:pt>
                <c:pt idx="3">
                  <c:v>27</c:v>
                </c:pt>
                <c:pt idx="4">
                  <c:v>27</c:v>
                </c:pt>
                <c:pt idx="5">
                  <c:v>32</c:v>
                </c:pt>
                <c:pt idx="6">
                  <c:v>38</c:v>
                </c:pt>
              </c:numCache>
            </c:numRef>
          </c:val>
          <c:extLst>
            <c:ext xmlns:c16="http://schemas.microsoft.com/office/drawing/2014/chart" uri="{C3380CC4-5D6E-409C-BE32-E72D297353CC}">
              <c16:uniqueId val="{00000000-ED62-466B-8D4E-AED8EF3E2FDB}"/>
            </c:ext>
          </c:extLst>
        </c:ser>
        <c:dLbls>
          <c:dLblPos val="outEnd"/>
          <c:showLegendKey val="0"/>
          <c:showVal val="1"/>
          <c:showCatName val="0"/>
          <c:showSerName val="0"/>
          <c:showPercent val="0"/>
          <c:showBubbleSize val="0"/>
        </c:dLbls>
        <c:gapWidth val="25"/>
        <c:axId val="565338496"/>
        <c:axId val="2115631328"/>
      </c:barChart>
      <c:catAx>
        <c:axId val="56533849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631328"/>
        <c:crosses val="autoZero"/>
        <c:auto val="1"/>
        <c:lblAlgn val="ctr"/>
        <c:lblOffset val="100"/>
        <c:noMultiLvlLbl val="0"/>
      </c:catAx>
      <c:valAx>
        <c:axId val="2115631328"/>
        <c:scaling>
          <c:orientation val="minMax"/>
        </c:scaling>
        <c:delete val="1"/>
        <c:axPos val="b"/>
        <c:numFmt formatCode="#,##0" sourceLinked="1"/>
        <c:majorTickMark val="out"/>
        <c:minorTickMark val="none"/>
        <c:tickLblPos val="nextTo"/>
        <c:crossAx val="565338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PROJECT.xlsx]pivot!Monthly trend</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2"/>
                </a:solidFill>
              </a:rPr>
              <a:t>Call</a:t>
            </a:r>
            <a:r>
              <a:rPr lang="en-US" sz="1600" b="1" baseline="0">
                <a:solidFill>
                  <a:schemeClr val="tx2"/>
                </a:solidFill>
              </a:rPr>
              <a:t> trend</a:t>
            </a:r>
            <a:endParaRPr lang="en-US" sz="1600" b="1">
              <a:solidFill>
                <a:schemeClr val="tx2"/>
              </a:solidFill>
            </a:endParaRPr>
          </a:p>
        </c:rich>
      </c:tx>
      <c:layout>
        <c:manualLayout>
          <c:xMode val="edge"/>
          <c:yMode val="edge"/>
          <c:x val="5.1159667541557347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circle"/>
          <c:size val="5"/>
          <c:spPr>
            <a:solidFill>
              <a:schemeClr val="accent1">
                <a:shade val="76000"/>
              </a:schemeClr>
            </a:solidFill>
            <a:ln w="9525">
              <a:solidFill>
                <a:schemeClr val="accent1">
                  <a:shade val="76000"/>
                </a:schemeClr>
              </a:solidFill>
            </a:ln>
            <a:effectLst/>
          </c:spPr>
        </c:marker>
      </c:pivotFmt>
      <c:pivotFmt>
        <c:idx val="4"/>
        <c:spPr>
          <a:gradFill flip="none" rotWithShape="1">
            <a:gsLst>
              <a:gs pos="93000">
                <a:srgbClr val="002060"/>
              </a:gs>
              <a:gs pos="0">
                <a:schemeClr val="tx2">
                  <a:lumMod val="20000"/>
                  <a:lumOff val="8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tx2"/>
            </a:solidFill>
            <a:round/>
          </a:ln>
          <a:effectLst/>
        </c:spPr>
        <c:marker>
          <c:symbol val="circle"/>
          <c:size val="7"/>
          <c:spPr>
            <a:solidFill>
              <a:schemeClr val="bg1">
                <a:alpha val="99000"/>
              </a:schemeClr>
            </a:solidFill>
            <a:ln w="25400">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pivot!$C$16</c:f>
              <c:strCache>
                <c:ptCount val="1"/>
                <c:pt idx="0">
                  <c:v>Call Count2</c:v>
                </c:pt>
              </c:strCache>
            </c:strRef>
          </c:tx>
          <c:spPr>
            <a:gradFill flip="none" rotWithShape="1">
              <a:gsLst>
                <a:gs pos="93000">
                  <a:srgbClr val="002060"/>
                </a:gs>
                <a:gs pos="0">
                  <a:schemeClr val="tx2">
                    <a:lumMod val="20000"/>
                    <a:lumOff val="80000"/>
                  </a:schemeClr>
                </a:gs>
              </a:gsLst>
              <a:lin ang="16200000" scaled="1"/>
              <a:tileRect/>
            </a:gradFill>
            <a:ln>
              <a:noFill/>
            </a:ln>
            <a:effectLst/>
          </c:spPr>
          <c:cat>
            <c:strRef>
              <c:f>pivot!$A$17:$A$29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pivot!$C$17:$C$29</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extLst>
            <c:ext xmlns:c16="http://schemas.microsoft.com/office/drawing/2014/chart" uri="{C3380CC4-5D6E-409C-BE32-E72D297353CC}">
              <c16:uniqueId val="{00000000-AA80-4ED5-8EDF-FFC9C0E67DD0}"/>
            </c:ext>
          </c:extLst>
        </c:ser>
        <c:dLbls>
          <c:showLegendKey val="0"/>
          <c:showVal val="0"/>
          <c:showCatName val="0"/>
          <c:showSerName val="0"/>
          <c:showPercent val="0"/>
          <c:showBubbleSize val="0"/>
        </c:dLbls>
        <c:axId val="567934480"/>
        <c:axId val="2115617600"/>
      </c:areaChart>
      <c:lineChart>
        <c:grouping val="standard"/>
        <c:varyColors val="0"/>
        <c:ser>
          <c:idx val="0"/>
          <c:order val="0"/>
          <c:tx>
            <c:strRef>
              <c:f>pivot!$B$16</c:f>
              <c:strCache>
                <c:ptCount val="1"/>
                <c:pt idx="0">
                  <c:v>Call Count</c:v>
                </c:pt>
              </c:strCache>
            </c:strRef>
          </c:tx>
          <c:spPr>
            <a:ln w="28575" cap="rnd">
              <a:solidFill>
                <a:schemeClr val="tx2"/>
              </a:solidFill>
              <a:round/>
            </a:ln>
            <a:effectLst/>
          </c:spPr>
          <c:marker>
            <c:symbol val="circle"/>
            <c:size val="7"/>
            <c:spPr>
              <a:solidFill>
                <a:schemeClr val="bg1">
                  <a:alpha val="99000"/>
                </a:schemeClr>
              </a:solidFill>
              <a:ln w="25400">
                <a:solidFill>
                  <a:schemeClr val="tx1"/>
                </a:solidFill>
              </a:ln>
              <a:effectLst/>
            </c:spPr>
          </c:marker>
          <c:cat>
            <c:strRef>
              <c:f>pivot!$A$17:$A$29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pivot!$B$17:$B$29</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smooth val="0"/>
          <c:extLst>
            <c:ext xmlns:c16="http://schemas.microsoft.com/office/drawing/2014/chart" uri="{C3380CC4-5D6E-409C-BE32-E72D297353CC}">
              <c16:uniqueId val="{00000001-AA80-4ED5-8EDF-FFC9C0E67DD0}"/>
            </c:ext>
          </c:extLst>
        </c:ser>
        <c:dLbls>
          <c:showLegendKey val="0"/>
          <c:showVal val="0"/>
          <c:showCatName val="0"/>
          <c:showSerName val="0"/>
          <c:showPercent val="0"/>
          <c:showBubbleSize val="0"/>
        </c:dLbls>
        <c:marker val="1"/>
        <c:smooth val="0"/>
        <c:axId val="567934480"/>
        <c:axId val="2115617600"/>
      </c:lineChart>
      <c:catAx>
        <c:axId val="56793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617600"/>
        <c:crosses val="autoZero"/>
        <c:auto val="1"/>
        <c:lblAlgn val="ctr"/>
        <c:lblOffset val="100"/>
        <c:noMultiLvlLbl val="0"/>
      </c:catAx>
      <c:valAx>
        <c:axId val="21156176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93448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t>Calls</a:t>
            </a:r>
          </a:p>
        </c:rich>
      </c:tx>
      <c:layout>
        <c:manualLayout>
          <c:xMode val="edge"/>
          <c:yMode val="edge"/>
          <c:x val="0.11946055272502702"/>
          <c:y val="2.3148148148148147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65000"/>
              </a:schemeClr>
            </a:solidFill>
            <a:ln>
              <a:noFill/>
            </a:ln>
            <a:effectLst/>
          </c:spPr>
          <c:invertIfNegative val="0"/>
          <c:dPt>
            <c:idx val="0"/>
            <c:invertIfNegative val="0"/>
            <c:bubble3D val="0"/>
            <c:spPr>
              <a:solidFill>
                <a:schemeClr val="tx1">
                  <a:lumMod val="65000"/>
                  <a:lumOff val="35000"/>
                </a:schemeClr>
              </a:solidFill>
              <a:ln>
                <a:noFill/>
              </a:ln>
              <a:effectLst/>
            </c:spPr>
            <c:extLst>
              <c:ext xmlns:c16="http://schemas.microsoft.com/office/drawing/2014/chart" uri="{C3380CC4-5D6E-409C-BE32-E72D297353CC}">
                <c16:uniqueId val="{00000002-0AA2-4380-8C60-277E5844373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pivot!$G$61:$G$65</c:f>
              <c:numCache>
                <c:formatCode>General</c:formatCode>
                <c:ptCount val="5"/>
              </c:numCache>
            </c:numRef>
          </c:cat>
          <c:val>
            <c:numRef>
              <c:f>pivot!$H$56:$H$60</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BBF7-45A4-B33C-93A3FAC634FF}"/>
            </c:ext>
          </c:extLst>
        </c:ser>
        <c:ser>
          <c:idx val="1"/>
          <c:order val="1"/>
          <c:tx>
            <c:strRef>
              <c:f>pivot!$J$55</c:f>
              <c:strCache>
                <c:ptCount val="1"/>
                <c:pt idx="0">
                  <c:v>Sel calls</c:v>
                </c:pt>
              </c:strCache>
            </c:strRef>
          </c:tx>
          <c:spPr>
            <a:solidFill>
              <a:schemeClr val="accent6">
                <a:lumMod val="40000"/>
                <a:lumOff val="60000"/>
              </a:schemeClr>
            </a:solidFill>
            <a:ln>
              <a:noFill/>
            </a:ln>
            <a:effectLst/>
          </c:spPr>
          <c:invertIfNegative val="0"/>
          <c:dPt>
            <c:idx val="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2-BBF7-45A4-B33C-93A3FAC634FF}"/>
              </c:ext>
            </c:extLst>
          </c:dPt>
          <c:val>
            <c:numRef>
              <c:f>pivot!$J$56:$J$60</c:f>
              <c:numCache>
                <c:formatCode>General</c:formatCode>
                <c:ptCount val="5"/>
                <c:pt idx="0">
                  <c:v>#N/A</c:v>
                </c:pt>
                <c:pt idx="1">
                  <c:v>#N/A</c:v>
                </c:pt>
                <c:pt idx="2">
                  <c:v>#N/A</c:v>
                </c:pt>
                <c:pt idx="3">
                  <c:v>#N/A</c:v>
                </c:pt>
                <c:pt idx="4">
                  <c:v>#N/A</c:v>
                </c:pt>
              </c:numCache>
            </c:numRef>
          </c:val>
          <c:extLst>
            <c:ext xmlns:c16="http://schemas.microsoft.com/office/drawing/2014/chart" uri="{C3380CC4-5D6E-409C-BE32-E72D297353CC}">
              <c16:uniqueId val="{00000003-BBF7-45A4-B33C-93A3FAC634FF}"/>
            </c:ext>
          </c:extLst>
        </c:ser>
        <c:dLbls>
          <c:showLegendKey val="0"/>
          <c:showVal val="0"/>
          <c:showCatName val="0"/>
          <c:showSerName val="0"/>
          <c:showPercent val="0"/>
          <c:showBubbleSize val="0"/>
        </c:dLbls>
        <c:gapWidth val="25"/>
        <c:overlap val="100"/>
        <c:axId val="2016606864"/>
        <c:axId val="1224596720"/>
      </c:barChart>
      <c:catAx>
        <c:axId val="2016606864"/>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596720"/>
        <c:crosses val="autoZero"/>
        <c:auto val="1"/>
        <c:lblAlgn val="ctr"/>
        <c:lblOffset val="100"/>
        <c:noMultiLvlLbl val="0"/>
      </c:catAx>
      <c:valAx>
        <c:axId val="1224596720"/>
        <c:scaling>
          <c:orientation val="minMax"/>
        </c:scaling>
        <c:delete val="1"/>
        <c:axPos val="t"/>
        <c:majorGridlines>
          <c:spPr>
            <a:ln w="9525" cap="flat" cmpd="sng" algn="ctr">
              <a:noFill/>
              <a:round/>
            </a:ln>
            <a:effectLst/>
          </c:spPr>
        </c:majorGridlines>
        <c:numFmt formatCode="General" sourceLinked="1"/>
        <c:majorTickMark val="none"/>
        <c:minorTickMark val="none"/>
        <c:tickLblPos val="nextTo"/>
        <c:crossAx val="2016606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800" b="1" i="0" u="none" strike="noStrike" kern="1200" spc="0" baseline="0">
                <a:solidFill>
                  <a:schemeClr val="accent1"/>
                </a:solidFill>
                <a:latin typeface="+mn-lt"/>
                <a:ea typeface="+mn-ea"/>
                <a:cs typeface="+mn-cs"/>
              </a:defRPr>
            </a:pPr>
            <a:r>
              <a:rPr lang="en-US" sz="1800" b="1">
                <a:solidFill>
                  <a:schemeClr val="accent1"/>
                </a:solidFill>
              </a:rPr>
              <a:t>Amount</a:t>
            </a:r>
          </a:p>
        </c:rich>
      </c:tx>
      <c:layout>
        <c:manualLayout>
          <c:xMode val="edge"/>
          <c:yMode val="edge"/>
          <c:x val="0.10163043478260869"/>
          <c:y val="2.7855153203342618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accent1"/>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65000"/>
              </a:schemeClr>
            </a:solidFill>
            <a:ln>
              <a:noFill/>
            </a:ln>
            <a:effectLst/>
          </c:spPr>
          <c:invertIfNegative val="0"/>
          <c:dPt>
            <c:idx val="0"/>
            <c:invertIfNegative val="0"/>
            <c:bubble3D val="0"/>
            <c:spPr>
              <a:solidFill>
                <a:schemeClr val="tx1">
                  <a:lumMod val="65000"/>
                  <a:lumOff val="35000"/>
                </a:schemeClr>
              </a:solidFill>
              <a:ln>
                <a:noFill/>
              </a:ln>
              <a:effectLst/>
            </c:spPr>
            <c:extLst>
              <c:ext xmlns:c16="http://schemas.microsoft.com/office/drawing/2014/chart" uri="{C3380CC4-5D6E-409C-BE32-E72D297353CC}">
                <c16:uniqueId val="{00000000-3E02-4261-BCCF-64811A2B61D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pivot!$G$61:$G$65</c:f>
              <c:numCache>
                <c:formatCode>General</c:formatCode>
                <c:ptCount val="5"/>
              </c:numCache>
            </c:numRef>
          </c:cat>
          <c:val>
            <c:numRef>
              <c:f>pivot!$I$56:$I$60</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A7B0-4595-943F-646B9983D52A}"/>
            </c:ext>
          </c:extLst>
        </c:ser>
        <c:ser>
          <c:idx val="1"/>
          <c:order val="1"/>
          <c:tx>
            <c:strRef>
              <c:f>pivot!$K$55</c:f>
              <c:strCache>
                <c:ptCount val="1"/>
                <c:pt idx="0">
                  <c:v>Sel Amount</c:v>
                </c:pt>
              </c:strCache>
            </c:strRef>
          </c:tx>
          <c:spPr>
            <a:solidFill>
              <a:schemeClr val="accent2">
                <a:tint val="77000"/>
              </a:schemeClr>
            </a:solidFill>
            <a:ln>
              <a:noFill/>
            </a:ln>
            <a:effectLst/>
          </c:spPr>
          <c:invertIfNegative val="0"/>
          <c:dLbls>
            <c:delete val="1"/>
          </c:dLbls>
          <c:val>
            <c:numRef>
              <c:f>pivot!$K$56:$K$60</c:f>
              <c:numCache>
                <c:formatCode>General</c:formatCode>
                <c:ptCount val="5"/>
                <c:pt idx="0">
                  <c:v>#N/A</c:v>
                </c:pt>
                <c:pt idx="1">
                  <c:v>#N/A</c:v>
                </c:pt>
                <c:pt idx="2">
                  <c:v>#N/A</c:v>
                </c:pt>
                <c:pt idx="3">
                  <c:v>#N/A</c:v>
                </c:pt>
                <c:pt idx="4">
                  <c:v>#N/A</c:v>
                </c:pt>
              </c:numCache>
            </c:numRef>
          </c:val>
          <c:extLst>
            <c:ext xmlns:c16="http://schemas.microsoft.com/office/drawing/2014/chart" uri="{C3380CC4-5D6E-409C-BE32-E72D297353CC}">
              <c16:uniqueId val="{00000001-A7B0-4595-943F-646B9983D52A}"/>
            </c:ext>
          </c:extLst>
        </c:ser>
        <c:dLbls>
          <c:dLblPos val="outEnd"/>
          <c:showLegendKey val="0"/>
          <c:showVal val="1"/>
          <c:showCatName val="0"/>
          <c:showSerName val="0"/>
          <c:showPercent val="0"/>
          <c:showBubbleSize val="0"/>
        </c:dLbls>
        <c:gapWidth val="25"/>
        <c:overlap val="100"/>
        <c:axId val="2016606864"/>
        <c:axId val="1224596720"/>
      </c:barChart>
      <c:catAx>
        <c:axId val="2016606864"/>
        <c:scaling>
          <c:orientation val="maxMin"/>
        </c:scaling>
        <c:delete val="1"/>
        <c:axPos val="l"/>
        <c:numFmt formatCode="General" sourceLinked="1"/>
        <c:majorTickMark val="none"/>
        <c:minorTickMark val="none"/>
        <c:tickLblPos val="nextTo"/>
        <c:crossAx val="1224596720"/>
        <c:crosses val="autoZero"/>
        <c:auto val="1"/>
        <c:lblAlgn val="ctr"/>
        <c:lblOffset val="100"/>
        <c:noMultiLvlLbl val="0"/>
      </c:catAx>
      <c:valAx>
        <c:axId val="1224596720"/>
        <c:scaling>
          <c:orientation val="minMax"/>
        </c:scaling>
        <c:delete val="1"/>
        <c:axPos val="t"/>
        <c:numFmt formatCode="&quot;$&quot;#,###.0,&quot;K&quot;" sourceLinked="1"/>
        <c:majorTickMark val="none"/>
        <c:minorTickMark val="none"/>
        <c:tickLblPos val="nextTo"/>
        <c:crossAx val="2016606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PROJECT.xlsx]pivot!PivotTable2</c:name>
    <c:fmtId val="7"/>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solidFill>
                  <a:schemeClr val="accent5"/>
                </a:solidFill>
              </a:rPr>
              <a:t>Female </a:t>
            </a:r>
            <a:r>
              <a:rPr lang="en-US" sz="1800" b="1">
                <a:solidFill>
                  <a:sysClr val="windowText" lastClr="000000"/>
                </a:solidFill>
              </a:rPr>
              <a:t>vs</a:t>
            </a:r>
            <a:r>
              <a:rPr lang="en-US" sz="1800" b="1">
                <a:solidFill>
                  <a:schemeClr val="accent5"/>
                </a:solidFill>
              </a:rPr>
              <a:t> </a:t>
            </a:r>
            <a:r>
              <a:rPr lang="en-US" sz="1800" b="1">
                <a:solidFill>
                  <a:schemeClr val="accent3">
                    <a:lumMod val="75000"/>
                  </a:schemeClr>
                </a:solidFill>
              </a:rPr>
              <a:t>Male </a:t>
            </a:r>
            <a:r>
              <a:rPr lang="en-US" sz="1800" b="1">
                <a:solidFill>
                  <a:sysClr val="windowText" lastClr="000000"/>
                </a:solidFill>
              </a:rPr>
              <a:t>Callers</a:t>
            </a:r>
          </a:p>
        </c:rich>
      </c:tx>
      <c:layout>
        <c:manualLayout>
          <c:xMode val="edge"/>
          <c:yMode val="edge"/>
          <c:x val="0.12822699603182847"/>
          <c:y val="3.6731110426839103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pivotFmt>
      <c:pivotFmt>
        <c:idx val="1"/>
        <c:spPr>
          <a:solidFill>
            <a:schemeClr val="accent3">
              <a:lumMod val="75000"/>
            </a:schemeClr>
          </a:solidFill>
          <a:ln>
            <a:noFill/>
          </a:ln>
          <a:effectLst/>
        </c:spPr>
        <c:marker>
          <c:symbol val="none"/>
        </c:marker>
      </c:pivotFmt>
      <c:pivotFmt>
        <c:idx val="2"/>
        <c:spPr>
          <a:solidFill>
            <a:schemeClr val="accent5"/>
          </a:solidFill>
          <a:ln>
            <a:noFill/>
          </a:ln>
          <a:effectLst/>
        </c:spPr>
        <c:marker>
          <c:symbol val="none"/>
        </c:marker>
      </c:pivotFmt>
      <c:pivotFmt>
        <c:idx val="3"/>
        <c:spPr>
          <a:solidFill>
            <a:schemeClr val="accent3">
              <a:lumMod val="75000"/>
            </a:schemeClr>
          </a:solidFill>
          <a:ln>
            <a:noFill/>
          </a:ln>
          <a:effectLst/>
        </c:spPr>
        <c:marker>
          <c:symbol val="none"/>
        </c:marker>
      </c:pivotFmt>
      <c:pivotFmt>
        <c:idx val="4"/>
        <c:spPr>
          <a:solidFill>
            <a:schemeClr val="accent3">
              <a:lumMod val="75000"/>
            </a:schemeClr>
          </a:solidFill>
          <a:ln>
            <a:noFill/>
          </a:ln>
          <a:effectLst/>
        </c:spPr>
        <c:marker>
          <c:symbol val="none"/>
        </c:marker>
        <c:dLbl>
          <c:idx val="0"/>
          <c:spPr>
            <a:solidFill>
              <a:schemeClr val="bg1">
                <a:lumMod val="95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3">
              <a:lumMod val="40000"/>
              <a:lumOff val="60000"/>
            </a:schemeClr>
          </a:solidFill>
          <a:ln>
            <a:noFill/>
          </a:ln>
          <a:effectLst/>
        </c:spPr>
        <c:marker>
          <c:symbol val="none"/>
        </c:marker>
        <c:dLbl>
          <c:idx val="0"/>
          <c:spPr>
            <a:solidFill>
              <a:schemeClr val="bg1">
                <a:lumMod val="95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pivot!$B$89:$B$90</c:f>
              <c:strCache>
                <c:ptCount val="1"/>
                <c:pt idx="0">
                  <c:v>Female</c:v>
                </c:pt>
              </c:strCache>
            </c:strRef>
          </c:tx>
          <c:spPr>
            <a:solidFill>
              <a:schemeClr val="accent3">
                <a:lumMod val="75000"/>
              </a:schemeClr>
            </a:solidFill>
            <a:ln>
              <a:noFill/>
            </a:ln>
            <a:effectLst/>
          </c:spPr>
          <c:invertIfNegative val="0"/>
          <c:dLbls>
            <c:spPr>
              <a:solidFill>
                <a:schemeClr val="bg1">
                  <a:lumMod val="95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pivot!$A$91:$A$94</c:f>
              <c:strCache>
                <c:ptCount val="3"/>
                <c:pt idx="0">
                  <c:v>Cincinnati</c:v>
                </c:pt>
                <c:pt idx="1">
                  <c:v>Cleveland</c:v>
                </c:pt>
                <c:pt idx="2">
                  <c:v>Columbus</c:v>
                </c:pt>
              </c:strCache>
            </c:strRef>
          </c:cat>
          <c:val>
            <c:numRef>
              <c:f>pivot!$B$91:$B$94</c:f>
              <c:numCache>
                <c:formatCode>#,##0</c:formatCode>
                <c:ptCount val="3"/>
                <c:pt idx="0">
                  <c:v>144</c:v>
                </c:pt>
                <c:pt idx="1">
                  <c:v>326</c:v>
                </c:pt>
                <c:pt idx="2">
                  <c:v>129</c:v>
                </c:pt>
              </c:numCache>
            </c:numRef>
          </c:val>
          <c:extLst>
            <c:ext xmlns:c16="http://schemas.microsoft.com/office/drawing/2014/chart" uri="{C3380CC4-5D6E-409C-BE32-E72D297353CC}">
              <c16:uniqueId val="{00000000-F5C8-43A3-BFDC-B40812ED955B}"/>
            </c:ext>
          </c:extLst>
        </c:ser>
        <c:ser>
          <c:idx val="1"/>
          <c:order val="1"/>
          <c:tx>
            <c:strRef>
              <c:f>pivot!$C$89:$C$90</c:f>
              <c:strCache>
                <c:ptCount val="1"/>
                <c:pt idx="0">
                  <c:v>Male</c:v>
                </c:pt>
              </c:strCache>
            </c:strRef>
          </c:tx>
          <c:spPr>
            <a:solidFill>
              <a:schemeClr val="accent3">
                <a:lumMod val="40000"/>
                <a:lumOff val="60000"/>
              </a:schemeClr>
            </a:solidFill>
            <a:ln>
              <a:noFill/>
            </a:ln>
            <a:effectLst/>
          </c:spPr>
          <c:invertIfNegative val="0"/>
          <c:dLbls>
            <c:spPr>
              <a:solidFill>
                <a:schemeClr val="bg1">
                  <a:lumMod val="95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pivot!$A$91:$A$94</c:f>
              <c:strCache>
                <c:ptCount val="3"/>
                <c:pt idx="0">
                  <c:v>Cincinnati</c:v>
                </c:pt>
                <c:pt idx="1">
                  <c:v>Cleveland</c:v>
                </c:pt>
                <c:pt idx="2">
                  <c:v>Columbus</c:v>
                </c:pt>
              </c:strCache>
            </c:strRef>
          </c:cat>
          <c:val>
            <c:numRef>
              <c:f>pivot!$C$91:$C$94</c:f>
              <c:numCache>
                <c:formatCode>#,##0</c:formatCode>
                <c:ptCount val="3"/>
                <c:pt idx="0">
                  <c:v>132</c:v>
                </c:pt>
                <c:pt idx="1">
                  <c:v>63</c:v>
                </c:pt>
                <c:pt idx="2">
                  <c:v>206</c:v>
                </c:pt>
              </c:numCache>
            </c:numRef>
          </c:val>
          <c:extLst>
            <c:ext xmlns:c16="http://schemas.microsoft.com/office/drawing/2014/chart" uri="{C3380CC4-5D6E-409C-BE32-E72D297353CC}">
              <c16:uniqueId val="{00000001-F5C8-43A3-BFDC-B40812ED955B}"/>
            </c:ext>
          </c:extLst>
        </c:ser>
        <c:dLbls>
          <c:dLblPos val="ctr"/>
          <c:showLegendKey val="0"/>
          <c:showVal val="1"/>
          <c:showCatName val="0"/>
          <c:showSerName val="0"/>
          <c:showPercent val="0"/>
          <c:showBubbleSize val="0"/>
        </c:dLbls>
        <c:gapWidth val="25"/>
        <c:overlap val="100"/>
        <c:axId val="1836796527"/>
        <c:axId val="1842185727"/>
      </c:barChart>
      <c:catAx>
        <c:axId val="18367965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185727"/>
        <c:crosses val="autoZero"/>
        <c:auto val="1"/>
        <c:lblAlgn val="ctr"/>
        <c:lblOffset val="100"/>
        <c:noMultiLvlLbl val="0"/>
      </c:catAx>
      <c:valAx>
        <c:axId val="1842185727"/>
        <c:scaling>
          <c:orientation val="minMax"/>
        </c:scaling>
        <c:delete val="1"/>
        <c:axPos val="l"/>
        <c:numFmt formatCode="0%" sourceLinked="1"/>
        <c:majorTickMark val="out"/>
        <c:minorTickMark val="none"/>
        <c:tickLblPos val="nextTo"/>
        <c:crossAx val="1836796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chart" Target="../charts/chart7.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8" Type="http://schemas.openxmlformats.org/officeDocument/2006/relationships/image" Target="../media/image18.svg"/><Relationship Id="rId3" Type="http://schemas.openxmlformats.org/officeDocument/2006/relationships/image" Target="../media/image13.png"/><Relationship Id="rId7" Type="http://schemas.openxmlformats.org/officeDocument/2006/relationships/image" Target="../media/image17.png"/><Relationship Id="rId12" Type="http://schemas.openxmlformats.org/officeDocument/2006/relationships/image" Target="../media/image22.svg"/><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image" Target="../media/image16.svg"/><Relationship Id="rId11" Type="http://schemas.openxmlformats.org/officeDocument/2006/relationships/image" Target="../media/image21.png"/><Relationship Id="rId5" Type="http://schemas.openxmlformats.org/officeDocument/2006/relationships/image" Target="../media/image15.png"/><Relationship Id="rId10" Type="http://schemas.openxmlformats.org/officeDocument/2006/relationships/image" Target="../media/image20.svg"/><Relationship Id="rId4" Type="http://schemas.openxmlformats.org/officeDocument/2006/relationships/image" Target="../media/image14.svg"/><Relationship Id="rId9"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138ED6BA-6C03-321C-0A11-EBFE89F1D0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226740</xdr:colOff>
      <xdr:row>54</xdr:row>
      <xdr:rowOff>57811</xdr:rowOff>
    </xdr:from>
    <xdr:to>
      <xdr:col>18</xdr:col>
      <xdr:colOff>194656</xdr:colOff>
      <xdr:row>67</xdr:row>
      <xdr:rowOff>57930</xdr:rowOff>
    </xdr:to>
    <xdr:graphicFrame macro="">
      <xdr:nvGraphicFramePr>
        <xdr:cNvPr id="2" name="Chart 1">
          <a:extLst>
            <a:ext uri="{FF2B5EF4-FFF2-40B4-BE49-F238E27FC236}">
              <a16:creationId xmlns:a16="http://schemas.microsoft.com/office/drawing/2014/main" id="{5D20C66B-97A8-DFF8-B175-56C56FCA49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4</xdr:row>
      <xdr:rowOff>76200</xdr:rowOff>
    </xdr:from>
    <xdr:to>
      <xdr:col>4</xdr:col>
      <xdr:colOff>403860</xdr:colOff>
      <xdr:row>12</xdr:row>
      <xdr:rowOff>15240</xdr:rowOff>
    </xdr:to>
    <xdr:sp macro="" textlink="pivot!A4">
      <xdr:nvSpPr>
        <xdr:cNvPr id="2" name="Rectangle 1">
          <a:extLst>
            <a:ext uri="{FF2B5EF4-FFF2-40B4-BE49-F238E27FC236}">
              <a16:creationId xmlns:a16="http://schemas.microsoft.com/office/drawing/2014/main" id="{998E01E9-BEC7-4B82-9637-A9D40AA8A8A4}"/>
            </a:ext>
          </a:extLst>
        </xdr:cNvPr>
        <xdr:cNvSpPr/>
      </xdr:nvSpPr>
      <xdr:spPr>
        <a:xfrm>
          <a:off x="182880" y="807720"/>
          <a:ext cx="1828800" cy="1402080"/>
        </a:xfrm>
        <a:prstGeom prst="rect">
          <a:avLst/>
        </a:prstGeom>
        <a:solidFill>
          <a:schemeClr val="tx2"/>
        </a:solidFill>
        <a:effectLst>
          <a:outerShdw blurRad="254000" dist="127000" dir="2700000" algn="tl" rotWithShape="0">
            <a:prstClr val="black">
              <a:alpha val="5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FDDB3AD-74BD-4236-BFC1-447D016E94BF}" type="TxLink">
            <a:rPr lang="en-US" sz="2800" b="1" i="0" u="none" strike="noStrike">
              <a:solidFill>
                <a:schemeClr val="bg1"/>
              </a:solidFill>
              <a:latin typeface="+mj-lt"/>
              <a:cs typeface="Calibri"/>
            </a:rPr>
            <a:pPr algn="ctr"/>
            <a:t>1,000</a:t>
          </a:fld>
          <a:endParaRPr lang="en-US" sz="2800" b="1">
            <a:solidFill>
              <a:schemeClr val="bg1"/>
            </a:solidFill>
            <a:latin typeface="+mj-lt"/>
          </a:endParaRPr>
        </a:p>
      </xdr:txBody>
    </xdr:sp>
    <xdr:clientData/>
  </xdr:twoCellAnchor>
  <xdr:twoCellAnchor>
    <xdr:from>
      <xdr:col>1</xdr:col>
      <xdr:colOff>99060</xdr:colOff>
      <xdr:row>4</xdr:row>
      <xdr:rowOff>137160</xdr:rowOff>
    </xdr:from>
    <xdr:to>
      <xdr:col>4</xdr:col>
      <xdr:colOff>182880</xdr:colOff>
      <xdr:row>6</xdr:row>
      <xdr:rowOff>45720</xdr:rowOff>
    </xdr:to>
    <xdr:sp macro="" textlink="">
      <xdr:nvSpPr>
        <xdr:cNvPr id="3" name="TextBox 2">
          <a:extLst>
            <a:ext uri="{FF2B5EF4-FFF2-40B4-BE49-F238E27FC236}">
              <a16:creationId xmlns:a16="http://schemas.microsoft.com/office/drawing/2014/main" id="{8A5F553D-EFF6-40DF-9FE0-6C574CDEB3CF}"/>
            </a:ext>
          </a:extLst>
        </xdr:cNvPr>
        <xdr:cNvSpPr txBox="1"/>
      </xdr:nvSpPr>
      <xdr:spPr>
        <a:xfrm>
          <a:off x="281940" y="868680"/>
          <a:ext cx="15087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lumMod val="95000"/>
                </a:schemeClr>
              </a:solidFill>
            </a:rPr>
            <a:t>Calls</a:t>
          </a:r>
        </a:p>
      </xdr:txBody>
    </xdr:sp>
    <xdr:clientData/>
  </xdr:twoCellAnchor>
  <xdr:twoCellAnchor editAs="oneCell">
    <xdr:from>
      <xdr:col>1</xdr:col>
      <xdr:colOff>38100</xdr:colOff>
      <xdr:row>4</xdr:row>
      <xdr:rowOff>152401</xdr:rowOff>
    </xdr:from>
    <xdr:to>
      <xdr:col>2</xdr:col>
      <xdr:colOff>174540</xdr:colOff>
      <xdr:row>6</xdr:row>
      <xdr:rowOff>106681</xdr:rowOff>
    </xdr:to>
    <xdr:pic>
      <xdr:nvPicPr>
        <xdr:cNvPr id="5" name="Graphic 4" descr="Receiver with solid fill">
          <a:extLst>
            <a:ext uri="{FF2B5EF4-FFF2-40B4-BE49-F238E27FC236}">
              <a16:creationId xmlns:a16="http://schemas.microsoft.com/office/drawing/2014/main" id="{94DDF8CF-9019-4DBF-8264-DC3BC418541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819740">
          <a:off x="220980" y="883921"/>
          <a:ext cx="342180" cy="320040"/>
        </a:xfrm>
        <a:prstGeom prst="rect">
          <a:avLst/>
        </a:prstGeom>
      </xdr:spPr>
    </xdr:pic>
    <xdr:clientData/>
  </xdr:twoCellAnchor>
  <xdr:twoCellAnchor>
    <xdr:from>
      <xdr:col>1</xdr:col>
      <xdr:colOff>15240</xdr:colOff>
      <xdr:row>13</xdr:row>
      <xdr:rowOff>7620</xdr:rowOff>
    </xdr:from>
    <xdr:to>
      <xdr:col>4</xdr:col>
      <xdr:colOff>419100</xdr:colOff>
      <xdr:row>20</xdr:row>
      <xdr:rowOff>129540</xdr:rowOff>
    </xdr:to>
    <xdr:sp macro="" textlink="pivot!B4">
      <xdr:nvSpPr>
        <xdr:cNvPr id="40" name="Rectangle 39">
          <a:extLst>
            <a:ext uri="{FF2B5EF4-FFF2-40B4-BE49-F238E27FC236}">
              <a16:creationId xmlns:a16="http://schemas.microsoft.com/office/drawing/2014/main" id="{DA218F91-E27A-4C55-8061-D7AE4C0D8F59}"/>
            </a:ext>
          </a:extLst>
        </xdr:cNvPr>
        <xdr:cNvSpPr/>
      </xdr:nvSpPr>
      <xdr:spPr>
        <a:xfrm>
          <a:off x="198120" y="2385060"/>
          <a:ext cx="1828800" cy="1402080"/>
        </a:xfrm>
        <a:prstGeom prst="rect">
          <a:avLst/>
        </a:prstGeom>
        <a:solidFill>
          <a:schemeClr val="tx2"/>
        </a:solidFill>
        <a:effectLst>
          <a:outerShdw blurRad="254000" dist="127000" dir="2700000" algn="tl" rotWithShape="0">
            <a:prstClr val="black">
              <a:alpha val="5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14B59A7-8AF4-4C12-BBFB-FD26FBCCBB85}" type="TxLink">
            <a:rPr lang="en-US" sz="2800" b="1" i="0" u="none" strike="noStrike">
              <a:solidFill>
                <a:schemeClr val="bg1"/>
              </a:solidFill>
              <a:latin typeface="+mj-lt"/>
              <a:ea typeface="+mn-ea"/>
              <a:cs typeface="Calibri"/>
            </a:rPr>
            <a:pPr marL="0" indent="0" algn="ctr"/>
            <a:t>$96,623</a:t>
          </a:fld>
          <a:endParaRPr lang="en-US" sz="2800" b="1" i="0" u="none" strike="noStrike">
            <a:solidFill>
              <a:schemeClr val="bg1"/>
            </a:solidFill>
            <a:latin typeface="+mj-lt"/>
            <a:ea typeface="+mn-ea"/>
            <a:cs typeface="Calibri"/>
          </a:endParaRPr>
        </a:p>
      </xdr:txBody>
    </xdr:sp>
    <xdr:clientData/>
  </xdr:twoCellAnchor>
  <xdr:twoCellAnchor>
    <xdr:from>
      <xdr:col>1</xdr:col>
      <xdr:colOff>129540</xdr:colOff>
      <xdr:row>13</xdr:row>
      <xdr:rowOff>83820</xdr:rowOff>
    </xdr:from>
    <xdr:to>
      <xdr:col>4</xdr:col>
      <xdr:colOff>213360</xdr:colOff>
      <xdr:row>14</xdr:row>
      <xdr:rowOff>175260</xdr:rowOff>
    </xdr:to>
    <xdr:sp macro="" textlink="">
      <xdr:nvSpPr>
        <xdr:cNvPr id="41" name="TextBox 40">
          <a:extLst>
            <a:ext uri="{FF2B5EF4-FFF2-40B4-BE49-F238E27FC236}">
              <a16:creationId xmlns:a16="http://schemas.microsoft.com/office/drawing/2014/main" id="{6319F6FC-3631-4DAC-87CE-BA563A4502CB}"/>
            </a:ext>
          </a:extLst>
        </xdr:cNvPr>
        <xdr:cNvSpPr txBox="1"/>
      </xdr:nvSpPr>
      <xdr:spPr>
        <a:xfrm>
          <a:off x="312420" y="2461260"/>
          <a:ext cx="15087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lumMod val="95000"/>
                </a:schemeClr>
              </a:solidFill>
            </a:rPr>
            <a:t>Amount</a:t>
          </a:r>
        </a:p>
      </xdr:txBody>
    </xdr:sp>
    <xdr:clientData/>
  </xdr:twoCellAnchor>
  <xdr:twoCellAnchor editAs="oneCell">
    <xdr:from>
      <xdr:col>1</xdr:col>
      <xdr:colOff>110130</xdr:colOff>
      <xdr:row>13</xdr:row>
      <xdr:rowOff>68580</xdr:rowOff>
    </xdr:from>
    <xdr:to>
      <xdr:col>2</xdr:col>
      <xdr:colOff>224430</xdr:colOff>
      <xdr:row>15</xdr:row>
      <xdr:rowOff>22860</xdr:rowOff>
    </xdr:to>
    <xdr:pic>
      <xdr:nvPicPr>
        <xdr:cNvPr id="42" name="Graphic 41">
          <a:extLst>
            <a:ext uri="{FF2B5EF4-FFF2-40B4-BE49-F238E27FC236}">
              <a16:creationId xmlns:a16="http://schemas.microsoft.com/office/drawing/2014/main" id="{F84F7024-2787-44D0-9B60-09F13C61657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rot="21338053">
          <a:off x="293010" y="2446020"/>
          <a:ext cx="320040" cy="320040"/>
        </a:xfrm>
        <a:prstGeom prst="rect">
          <a:avLst/>
        </a:prstGeom>
      </xdr:spPr>
    </xdr:pic>
    <xdr:clientData/>
  </xdr:twoCellAnchor>
  <xdr:twoCellAnchor>
    <xdr:from>
      <xdr:col>1</xdr:col>
      <xdr:colOff>91440</xdr:colOff>
      <xdr:row>18</xdr:row>
      <xdr:rowOff>129540</xdr:rowOff>
    </xdr:from>
    <xdr:to>
      <xdr:col>4</xdr:col>
      <xdr:colOff>236220</xdr:colOff>
      <xdr:row>20</xdr:row>
      <xdr:rowOff>38100</xdr:rowOff>
    </xdr:to>
    <xdr:sp macro="" textlink="pivot!B9">
      <xdr:nvSpPr>
        <xdr:cNvPr id="43" name="TextBox 42">
          <a:extLst>
            <a:ext uri="{FF2B5EF4-FFF2-40B4-BE49-F238E27FC236}">
              <a16:creationId xmlns:a16="http://schemas.microsoft.com/office/drawing/2014/main" id="{364D2E3B-D0A6-4C67-94E3-9CF175EA1DAA}"/>
            </a:ext>
          </a:extLst>
        </xdr:cNvPr>
        <xdr:cNvSpPr txBox="1"/>
      </xdr:nvSpPr>
      <xdr:spPr>
        <a:xfrm>
          <a:off x="274320" y="3421380"/>
          <a:ext cx="15697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EC08042-F70E-4715-80B1-31CF130AD520}" type="TxLink">
            <a:rPr lang="en-US" sz="1200" b="1" i="0" u="none" strike="noStrike">
              <a:solidFill>
                <a:schemeClr val="bg1">
                  <a:lumMod val="95000"/>
                </a:schemeClr>
              </a:solidFill>
              <a:latin typeface="Calibri"/>
              <a:ea typeface="+mn-ea"/>
              <a:cs typeface="Calibri"/>
            </a:rPr>
            <a:pPr marL="0" indent="0" algn="ctr"/>
            <a:t>$20,104</a:t>
          </a:fld>
          <a:endParaRPr lang="en-US" sz="1200" b="1" i="0" u="none" strike="noStrike">
            <a:solidFill>
              <a:schemeClr val="bg1">
                <a:lumMod val="95000"/>
              </a:schemeClr>
            </a:solidFill>
            <a:latin typeface="Calibri"/>
            <a:ea typeface="+mn-ea"/>
            <a:cs typeface="Calibri"/>
          </a:endParaRPr>
        </a:p>
      </xdr:txBody>
    </xdr:sp>
    <xdr:clientData/>
  </xdr:twoCellAnchor>
  <xdr:twoCellAnchor>
    <xdr:from>
      <xdr:col>1</xdr:col>
      <xdr:colOff>38100</xdr:colOff>
      <xdr:row>21</xdr:row>
      <xdr:rowOff>152400</xdr:rowOff>
    </xdr:from>
    <xdr:to>
      <xdr:col>4</xdr:col>
      <xdr:colOff>441960</xdr:colOff>
      <xdr:row>29</xdr:row>
      <xdr:rowOff>91440</xdr:rowOff>
    </xdr:to>
    <xdr:sp macro="" textlink="pivot!C4">
      <xdr:nvSpPr>
        <xdr:cNvPr id="44" name="Rectangle 43">
          <a:extLst>
            <a:ext uri="{FF2B5EF4-FFF2-40B4-BE49-F238E27FC236}">
              <a16:creationId xmlns:a16="http://schemas.microsoft.com/office/drawing/2014/main" id="{44323F80-9FFA-4A90-A994-EE13AEF0F2EF}"/>
            </a:ext>
          </a:extLst>
        </xdr:cNvPr>
        <xdr:cNvSpPr/>
      </xdr:nvSpPr>
      <xdr:spPr>
        <a:xfrm>
          <a:off x="220980" y="3992880"/>
          <a:ext cx="1828800" cy="1402080"/>
        </a:xfrm>
        <a:prstGeom prst="rect">
          <a:avLst/>
        </a:prstGeom>
        <a:solidFill>
          <a:schemeClr val="tx2"/>
        </a:solidFill>
        <a:effectLst>
          <a:outerShdw blurRad="254000" dist="127000" dir="2700000" algn="tl" rotWithShape="0">
            <a:prstClr val="black">
              <a:alpha val="5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8DC6415-1584-4272-A9FE-C8FB54769C12}" type="TxLink">
            <a:rPr lang="en-US" sz="2800" b="1" i="0" u="none" strike="noStrike">
              <a:solidFill>
                <a:schemeClr val="bg1"/>
              </a:solidFill>
              <a:latin typeface="+mj-lt"/>
              <a:ea typeface="+mn-ea"/>
              <a:cs typeface="Calibri"/>
            </a:rPr>
            <a:pPr marL="0" indent="0" algn="ctr"/>
            <a:t>89,850</a:t>
          </a:fld>
          <a:endParaRPr lang="en-US" sz="2800" b="1" i="0" u="none" strike="noStrike">
            <a:solidFill>
              <a:schemeClr val="bg1"/>
            </a:solidFill>
            <a:latin typeface="+mj-lt"/>
            <a:ea typeface="+mn-ea"/>
            <a:cs typeface="Calibri"/>
          </a:endParaRPr>
        </a:p>
      </xdr:txBody>
    </xdr:sp>
    <xdr:clientData/>
  </xdr:twoCellAnchor>
  <xdr:twoCellAnchor>
    <xdr:from>
      <xdr:col>1</xdr:col>
      <xdr:colOff>167640</xdr:colOff>
      <xdr:row>22</xdr:row>
      <xdr:rowOff>60960</xdr:rowOff>
    </xdr:from>
    <xdr:to>
      <xdr:col>4</xdr:col>
      <xdr:colOff>251460</xdr:colOff>
      <xdr:row>23</xdr:row>
      <xdr:rowOff>152400</xdr:rowOff>
    </xdr:to>
    <xdr:sp macro="" textlink="">
      <xdr:nvSpPr>
        <xdr:cNvPr id="45" name="TextBox 44">
          <a:extLst>
            <a:ext uri="{FF2B5EF4-FFF2-40B4-BE49-F238E27FC236}">
              <a16:creationId xmlns:a16="http://schemas.microsoft.com/office/drawing/2014/main" id="{CCCC1EB8-F6E1-41F6-9D16-46A0D21531F7}"/>
            </a:ext>
          </a:extLst>
        </xdr:cNvPr>
        <xdr:cNvSpPr txBox="1"/>
      </xdr:nvSpPr>
      <xdr:spPr>
        <a:xfrm>
          <a:off x="350520" y="4084320"/>
          <a:ext cx="15087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lumMod val="95000"/>
                </a:schemeClr>
              </a:solidFill>
            </a:rPr>
            <a:t>Duration</a:t>
          </a:r>
        </a:p>
      </xdr:txBody>
    </xdr:sp>
    <xdr:clientData/>
  </xdr:twoCellAnchor>
  <xdr:twoCellAnchor editAs="oneCell">
    <xdr:from>
      <xdr:col>1</xdr:col>
      <xdr:colOff>117750</xdr:colOff>
      <xdr:row>22</xdr:row>
      <xdr:rowOff>38101</xdr:rowOff>
    </xdr:from>
    <xdr:to>
      <xdr:col>2</xdr:col>
      <xdr:colOff>232050</xdr:colOff>
      <xdr:row>23</xdr:row>
      <xdr:rowOff>175261</xdr:rowOff>
    </xdr:to>
    <xdr:pic>
      <xdr:nvPicPr>
        <xdr:cNvPr id="46" name="Graphic 45">
          <a:extLst>
            <a:ext uri="{FF2B5EF4-FFF2-40B4-BE49-F238E27FC236}">
              <a16:creationId xmlns:a16="http://schemas.microsoft.com/office/drawing/2014/main" id="{C191D222-1D4E-4A1D-8A65-88E8492CDA2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300630" y="4061461"/>
          <a:ext cx="320040" cy="320040"/>
        </a:xfrm>
        <a:prstGeom prst="rect">
          <a:avLst/>
        </a:prstGeom>
      </xdr:spPr>
    </xdr:pic>
    <xdr:clientData/>
  </xdr:twoCellAnchor>
  <xdr:twoCellAnchor>
    <xdr:from>
      <xdr:col>1</xdr:col>
      <xdr:colOff>137160</xdr:colOff>
      <xdr:row>27</xdr:row>
      <xdr:rowOff>76200</xdr:rowOff>
    </xdr:from>
    <xdr:to>
      <xdr:col>4</xdr:col>
      <xdr:colOff>281940</xdr:colOff>
      <xdr:row>28</xdr:row>
      <xdr:rowOff>167640</xdr:rowOff>
    </xdr:to>
    <xdr:sp macro="" textlink="pivot!C9">
      <xdr:nvSpPr>
        <xdr:cNvPr id="47" name="TextBox 46">
          <a:extLst>
            <a:ext uri="{FF2B5EF4-FFF2-40B4-BE49-F238E27FC236}">
              <a16:creationId xmlns:a16="http://schemas.microsoft.com/office/drawing/2014/main" id="{46DF4502-2084-4799-BD7F-30BD527A34F3}"/>
            </a:ext>
          </a:extLst>
        </xdr:cNvPr>
        <xdr:cNvSpPr txBox="1"/>
      </xdr:nvSpPr>
      <xdr:spPr>
        <a:xfrm>
          <a:off x="320040" y="5013960"/>
          <a:ext cx="15697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6F67D5E-564E-45A7-B248-DC17A46D2C47}" type="TxLink">
            <a:rPr lang="en-US" sz="1200" b="1" i="0" u="none" strike="noStrike">
              <a:solidFill>
                <a:schemeClr val="bg1">
                  <a:lumMod val="95000"/>
                </a:schemeClr>
              </a:solidFill>
              <a:latin typeface="Calibri"/>
              <a:ea typeface="+mn-ea"/>
              <a:cs typeface="Calibri"/>
            </a:rPr>
            <a:pPr marL="0" indent="0" algn="ctr"/>
            <a:t>18,209</a:t>
          </a:fld>
          <a:endParaRPr lang="en-US" sz="1200" b="1" i="0" u="none" strike="noStrike">
            <a:solidFill>
              <a:schemeClr val="bg1">
                <a:lumMod val="95000"/>
              </a:schemeClr>
            </a:solidFill>
            <a:latin typeface="Calibri"/>
            <a:ea typeface="+mn-ea"/>
            <a:cs typeface="Calibri"/>
          </a:endParaRPr>
        </a:p>
      </xdr:txBody>
    </xdr:sp>
    <xdr:clientData/>
  </xdr:twoCellAnchor>
  <xdr:twoCellAnchor>
    <xdr:from>
      <xdr:col>1</xdr:col>
      <xdr:colOff>30480</xdr:colOff>
      <xdr:row>30</xdr:row>
      <xdr:rowOff>137160</xdr:rowOff>
    </xdr:from>
    <xdr:to>
      <xdr:col>4</xdr:col>
      <xdr:colOff>434340</xdr:colOff>
      <xdr:row>38</xdr:row>
      <xdr:rowOff>76200</xdr:rowOff>
    </xdr:to>
    <xdr:sp macro="" textlink="pivot!D4">
      <xdr:nvSpPr>
        <xdr:cNvPr id="48" name="Rectangle 47">
          <a:extLst>
            <a:ext uri="{FF2B5EF4-FFF2-40B4-BE49-F238E27FC236}">
              <a16:creationId xmlns:a16="http://schemas.microsoft.com/office/drawing/2014/main" id="{220123BD-7E17-4411-AD46-6B6E534588F4}"/>
            </a:ext>
          </a:extLst>
        </xdr:cNvPr>
        <xdr:cNvSpPr/>
      </xdr:nvSpPr>
      <xdr:spPr>
        <a:xfrm>
          <a:off x="213360" y="5623560"/>
          <a:ext cx="1828800" cy="1402080"/>
        </a:xfrm>
        <a:prstGeom prst="rect">
          <a:avLst/>
        </a:prstGeom>
        <a:solidFill>
          <a:schemeClr val="tx2"/>
        </a:solidFill>
        <a:effectLst>
          <a:outerShdw blurRad="254000" dist="127000" dir="2700000" algn="tl" rotWithShape="0">
            <a:prstClr val="black">
              <a:alpha val="5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D8022C3-1D76-4D70-A77F-C9A0AE918F6D}" type="TxLink">
            <a:rPr lang="en-US" sz="2800" b="1" i="0" u="none" strike="noStrike">
              <a:solidFill>
                <a:schemeClr val="bg1"/>
              </a:solidFill>
              <a:latin typeface="+mj-lt"/>
              <a:ea typeface="+mn-ea"/>
              <a:cs typeface="Calibri"/>
            </a:rPr>
            <a:pPr marL="0" indent="0" algn="ctr"/>
            <a:t>3.9</a:t>
          </a:fld>
          <a:endParaRPr lang="en-US" sz="2800" b="1" i="0" u="none" strike="noStrike">
            <a:solidFill>
              <a:schemeClr val="bg1"/>
            </a:solidFill>
            <a:latin typeface="+mj-lt"/>
            <a:ea typeface="+mn-ea"/>
            <a:cs typeface="Calibri"/>
          </a:endParaRPr>
        </a:p>
      </xdr:txBody>
    </xdr:sp>
    <xdr:clientData/>
  </xdr:twoCellAnchor>
  <xdr:twoCellAnchor>
    <xdr:from>
      <xdr:col>2</xdr:col>
      <xdr:colOff>22860</xdr:colOff>
      <xdr:row>31</xdr:row>
      <xdr:rowOff>30480</xdr:rowOff>
    </xdr:from>
    <xdr:to>
      <xdr:col>4</xdr:col>
      <xdr:colOff>312420</xdr:colOff>
      <xdr:row>32</xdr:row>
      <xdr:rowOff>121920</xdr:rowOff>
    </xdr:to>
    <xdr:sp macro="" textlink="">
      <xdr:nvSpPr>
        <xdr:cNvPr id="49" name="TextBox 48">
          <a:extLst>
            <a:ext uri="{FF2B5EF4-FFF2-40B4-BE49-F238E27FC236}">
              <a16:creationId xmlns:a16="http://schemas.microsoft.com/office/drawing/2014/main" id="{B86E8D49-10A7-496C-932D-9E863CB6751E}"/>
            </a:ext>
          </a:extLst>
        </xdr:cNvPr>
        <xdr:cNvSpPr txBox="1"/>
      </xdr:nvSpPr>
      <xdr:spPr>
        <a:xfrm>
          <a:off x="411480" y="5699760"/>
          <a:ext cx="15087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lumMod val="95000"/>
                </a:schemeClr>
              </a:solidFill>
            </a:rPr>
            <a:t>Avg rating</a:t>
          </a:r>
        </a:p>
      </xdr:txBody>
    </xdr:sp>
    <xdr:clientData/>
  </xdr:twoCellAnchor>
  <xdr:twoCellAnchor editAs="oneCell">
    <xdr:from>
      <xdr:col>1</xdr:col>
      <xdr:colOff>56789</xdr:colOff>
      <xdr:row>30</xdr:row>
      <xdr:rowOff>175260</xdr:rowOff>
    </xdr:from>
    <xdr:to>
      <xdr:col>2</xdr:col>
      <xdr:colOff>270150</xdr:colOff>
      <xdr:row>32</xdr:row>
      <xdr:rowOff>152401</xdr:rowOff>
    </xdr:to>
    <xdr:pic>
      <xdr:nvPicPr>
        <xdr:cNvPr id="50" name="Graphic 49">
          <a:extLst>
            <a:ext uri="{FF2B5EF4-FFF2-40B4-BE49-F238E27FC236}">
              <a16:creationId xmlns:a16="http://schemas.microsoft.com/office/drawing/2014/main" id="{76CF70E3-76D1-4A21-B4AF-0BF453975C1F}"/>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239669" y="5661660"/>
          <a:ext cx="419101" cy="342901"/>
        </a:xfrm>
        <a:prstGeom prst="rect">
          <a:avLst/>
        </a:prstGeom>
      </xdr:spPr>
    </xdr:pic>
    <xdr:clientData/>
  </xdr:twoCellAnchor>
  <xdr:twoCellAnchor>
    <xdr:from>
      <xdr:col>1</xdr:col>
      <xdr:colOff>114300</xdr:colOff>
      <xdr:row>36</xdr:row>
      <xdr:rowOff>83820</xdr:rowOff>
    </xdr:from>
    <xdr:to>
      <xdr:col>4</xdr:col>
      <xdr:colOff>259080</xdr:colOff>
      <xdr:row>37</xdr:row>
      <xdr:rowOff>175260</xdr:rowOff>
    </xdr:to>
    <xdr:sp macro="" textlink="pivot!D9">
      <xdr:nvSpPr>
        <xdr:cNvPr id="51" name="TextBox 50">
          <a:extLst>
            <a:ext uri="{FF2B5EF4-FFF2-40B4-BE49-F238E27FC236}">
              <a16:creationId xmlns:a16="http://schemas.microsoft.com/office/drawing/2014/main" id="{D25277EC-0CAC-4AAE-A49A-735096DE3467}"/>
            </a:ext>
          </a:extLst>
        </xdr:cNvPr>
        <xdr:cNvSpPr txBox="1"/>
      </xdr:nvSpPr>
      <xdr:spPr>
        <a:xfrm>
          <a:off x="297180" y="6667500"/>
          <a:ext cx="15697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AF1DD92-982B-40C9-B960-37230E37BDAB}" type="TxLink">
            <a:rPr lang="en-US" sz="1200" b="1" i="0" u="none" strike="noStrike">
              <a:solidFill>
                <a:schemeClr val="bg1">
                  <a:lumMod val="95000"/>
                </a:schemeClr>
              </a:solidFill>
              <a:latin typeface="Calibri"/>
              <a:ea typeface="+mn-ea"/>
              <a:cs typeface="Calibri"/>
            </a:rPr>
            <a:pPr marL="0" indent="0" algn="ctr"/>
            <a:t>3.9</a:t>
          </a:fld>
          <a:endParaRPr lang="en-US" sz="1200" b="1" i="0" u="none" strike="noStrike">
            <a:solidFill>
              <a:schemeClr val="bg1">
                <a:lumMod val="95000"/>
              </a:schemeClr>
            </a:solidFill>
            <a:latin typeface="Calibri"/>
            <a:ea typeface="+mn-ea"/>
            <a:cs typeface="Calibri"/>
          </a:endParaRPr>
        </a:p>
      </xdr:txBody>
    </xdr:sp>
    <xdr:clientData/>
  </xdr:twoCellAnchor>
  <xdr:twoCellAnchor>
    <xdr:from>
      <xdr:col>1</xdr:col>
      <xdr:colOff>22860</xdr:colOff>
      <xdr:row>39</xdr:row>
      <xdr:rowOff>167640</xdr:rowOff>
    </xdr:from>
    <xdr:to>
      <xdr:col>4</xdr:col>
      <xdr:colOff>426720</xdr:colOff>
      <xdr:row>47</xdr:row>
      <xdr:rowOff>106680</xdr:rowOff>
    </xdr:to>
    <xdr:sp macro="" textlink="pivot!E4">
      <xdr:nvSpPr>
        <xdr:cNvPr id="56" name="Rectangle 55">
          <a:extLst>
            <a:ext uri="{FF2B5EF4-FFF2-40B4-BE49-F238E27FC236}">
              <a16:creationId xmlns:a16="http://schemas.microsoft.com/office/drawing/2014/main" id="{F3829E40-955A-4E2F-82DE-9F2CC4DF4E67}"/>
            </a:ext>
          </a:extLst>
        </xdr:cNvPr>
        <xdr:cNvSpPr/>
      </xdr:nvSpPr>
      <xdr:spPr>
        <a:xfrm>
          <a:off x="205740" y="7299960"/>
          <a:ext cx="1828800" cy="1402080"/>
        </a:xfrm>
        <a:prstGeom prst="rect">
          <a:avLst/>
        </a:prstGeom>
        <a:solidFill>
          <a:schemeClr val="tx2"/>
        </a:solidFill>
        <a:effectLst>
          <a:outerShdw blurRad="254000" dist="127000" dir="2700000" algn="tl" rotWithShape="0">
            <a:prstClr val="black">
              <a:alpha val="5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E29AC3A-F8A6-406B-8532-27D4263CDCAB}" type="TxLink">
            <a:rPr lang="en-US" sz="2800" b="1" i="0" u="none" strike="noStrike">
              <a:solidFill>
                <a:schemeClr val="bg1"/>
              </a:solidFill>
              <a:latin typeface="+mj-lt"/>
              <a:ea typeface="+mn-ea"/>
              <a:cs typeface="Calibri"/>
            </a:rPr>
            <a:pPr marL="0" indent="0" algn="ctr"/>
            <a:t>307</a:t>
          </a:fld>
          <a:endParaRPr lang="en-US" sz="2800" b="1" i="0" u="none" strike="noStrike">
            <a:solidFill>
              <a:schemeClr val="bg1"/>
            </a:solidFill>
            <a:latin typeface="+mj-lt"/>
            <a:ea typeface="+mn-ea"/>
            <a:cs typeface="Calibri"/>
          </a:endParaRPr>
        </a:p>
      </xdr:txBody>
    </xdr:sp>
    <xdr:clientData/>
  </xdr:twoCellAnchor>
  <xdr:twoCellAnchor>
    <xdr:from>
      <xdr:col>1</xdr:col>
      <xdr:colOff>198120</xdr:colOff>
      <xdr:row>40</xdr:row>
      <xdr:rowOff>45720</xdr:rowOff>
    </xdr:from>
    <xdr:to>
      <xdr:col>4</xdr:col>
      <xdr:colOff>281940</xdr:colOff>
      <xdr:row>41</xdr:row>
      <xdr:rowOff>137160</xdr:rowOff>
    </xdr:to>
    <xdr:sp macro="" textlink="">
      <xdr:nvSpPr>
        <xdr:cNvPr id="57" name="TextBox 56">
          <a:extLst>
            <a:ext uri="{FF2B5EF4-FFF2-40B4-BE49-F238E27FC236}">
              <a16:creationId xmlns:a16="http://schemas.microsoft.com/office/drawing/2014/main" id="{BCE50C70-EE3F-4B64-AA13-1B115431A84C}"/>
            </a:ext>
          </a:extLst>
        </xdr:cNvPr>
        <xdr:cNvSpPr txBox="1"/>
      </xdr:nvSpPr>
      <xdr:spPr>
        <a:xfrm>
          <a:off x="381000" y="7360920"/>
          <a:ext cx="15087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lumMod val="95000"/>
                </a:schemeClr>
              </a:solidFill>
            </a:rPr>
            <a:t>Happy callers</a:t>
          </a:r>
        </a:p>
      </xdr:txBody>
    </xdr:sp>
    <xdr:clientData/>
  </xdr:twoCellAnchor>
  <xdr:twoCellAnchor editAs="oneCell">
    <xdr:from>
      <xdr:col>1</xdr:col>
      <xdr:colOff>33930</xdr:colOff>
      <xdr:row>40</xdr:row>
      <xdr:rowOff>45721</xdr:rowOff>
    </xdr:from>
    <xdr:to>
      <xdr:col>2</xdr:col>
      <xdr:colOff>148230</xdr:colOff>
      <xdr:row>42</xdr:row>
      <xdr:rowOff>1</xdr:rowOff>
    </xdr:to>
    <xdr:pic>
      <xdr:nvPicPr>
        <xdr:cNvPr id="58" name="Graphic 57">
          <a:extLst>
            <a:ext uri="{FF2B5EF4-FFF2-40B4-BE49-F238E27FC236}">
              <a16:creationId xmlns:a16="http://schemas.microsoft.com/office/drawing/2014/main" id="{7954DBA5-E508-4DC8-8063-63E0655DD552}"/>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216810" y="7360921"/>
          <a:ext cx="320040" cy="320040"/>
        </a:xfrm>
        <a:prstGeom prst="rect">
          <a:avLst/>
        </a:prstGeom>
      </xdr:spPr>
    </xdr:pic>
    <xdr:clientData/>
  </xdr:twoCellAnchor>
  <xdr:twoCellAnchor editAs="oneCell">
    <xdr:from>
      <xdr:col>15</xdr:col>
      <xdr:colOff>236220</xdr:colOff>
      <xdr:row>21</xdr:row>
      <xdr:rowOff>53340</xdr:rowOff>
    </xdr:from>
    <xdr:to>
      <xdr:col>18</xdr:col>
      <xdr:colOff>236220</xdr:colOff>
      <xdr:row>34</xdr:row>
      <xdr:rowOff>142875</xdr:rowOff>
    </xdr:to>
    <mc:AlternateContent xmlns:mc="http://schemas.openxmlformats.org/markup-compatibility/2006">
      <mc:Choice xmlns:a14="http://schemas.microsoft.com/office/drawing/2010/main" Requires="a14">
        <xdr:graphicFrame macro="">
          <xdr:nvGraphicFramePr>
            <xdr:cNvPr id="61" name="Representative">
              <a:extLst>
                <a:ext uri="{FF2B5EF4-FFF2-40B4-BE49-F238E27FC236}">
                  <a16:creationId xmlns:a16="http://schemas.microsoft.com/office/drawing/2014/main" id="{AAD31F3D-4A01-4220-BC17-D72F702EFC66}"/>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dr:sp macro="" textlink="">
          <xdr:nvSpPr>
            <xdr:cNvPr id="0" name=""/>
            <xdr:cNvSpPr>
              <a:spLocks noTextEdit="1"/>
            </xdr:cNvSpPr>
          </xdr:nvSpPr>
          <xdr:spPr>
            <a:xfrm>
              <a:off x="8549640" y="38938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106680</xdr:colOff>
      <xdr:row>45</xdr:row>
      <xdr:rowOff>121920</xdr:rowOff>
    </xdr:from>
    <xdr:to>
      <xdr:col>4</xdr:col>
      <xdr:colOff>251460</xdr:colOff>
      <xdr:row>47</xdr:row>
      <xdr:rowOff>38100</xdr:rowOff>
    </xdr:to>
    <xdr:sp macro="" textlink="pivot!E9">
      <xdr:nvSpPr>
        <xdr:cNvPr id="59" name="TextBox 58">
          <a:extLst>
            <a:ext uri="{FF2B5EF4-FFF2-40B4-BE49-F238E27FC236}">
              <a16:creationId xmlns:a16="http://schemas.microsoft.com/office/drawing/2014/main" id="{F62B8124-D57E-4B15-AB7B-6B802F0BE113}"/>
            </a:ext>
          </a:extLst>
        </xdr:cNvPr>
        <xdr:cNvSpPr txBox="1"/>
      </xdr:nvSpPr>
      <xdr:spPr>
        <a:xfrm>
          <a:off x="289560" y="8351520"/>
          <a:ext cx="156972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9EEADC4-69AA-4A68-9C84-CFD742F3FFA8}" type="TxLink">
            <a:rPr lang="en-US" sz="1200" b="1" i="0" u="none" strike="noStrike">
              <a:solidFill>
                <a:schemeClr val="bg1">
                  <a:lumMod val="95000"/>
                </a:schemeClr>
              </a:solidFill>
              <a:latin typeface="Calibri"/>
              <a:ea typeface="+mn-ea"/>
              <a:cs typeface="Calibri"/>
            </a:rPr>
            <a:pPr marL="0" indent="0" algn="ctr"/>
            <a:t>51</a:t>
          </a:fld>
          <a:endParaRPr lang="en-US" sz="1200" b="1" i="0" u="none" strike="noStrike">
            <a:solidFill>
              <a:schemeClr val="bg1">
                <a:lumMod val="95000"/>
              </a:schemeClr>
            </a:solidFill>
            <a:latin typeface="Calibri"/>
            <a:ea typeface="+mn-ea"/>
            <a:cs typeface="Calibri"/>
          </a:endParaRPr>
        </a:p>
      </xdr:txBody>
    </xdr:sp>
    <xdr:clientData/>
  </xdr:twoCellAnchor>
  <xdr:twoCellAnchor>
    <xdr:from>
      <xdr:col>12</xdr:col>
      <xdr:colOff>251460</xdr:colOff>
      <xdr:row>6</xdr:row>
      <xdr:rowOff>68580</xdr:rowOff>
    </xdr:from>
    <xdr:to>
      <xdr:col>15</xdr:col>
      <xdr:colOff>426720</xdr:colOff>
      <xdr:row>17</xdr:row>
      <xdr:rowOff>106680</xdr:rowOff>
    </xdr:to>
    <xdr:graphicFrame macro="">
      <xdr:nvGraphicFramePr>
        <xdr:cNvPr id="65" name="Chart 64">
          <a:extLst>
            <a:ext uri="{FF2B5EF4-FFF2-40B4-BE49-F238E27FC236}">
              <a16:creationId xmlns:a16="http://schemas.microsoft.com/office/drawing/2014/main" id="{F936228D-8CEC-49D3-8843-DDC8DA3E45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601980</xdr:colOff>
      <xdr:row>4</xdr:row>
      <xdr:rowOff>68580</xdr:rowOff>
    </xdr:from>
    <xdr:to>
      <xdr:col>12</xdr:col>
      <xdr:colOff>297180</xdr:colOff>
      <xdr:row>19</xdr:row>
      <xdr:rowOff>68580</xdr:rowOff>
    </xdr:to>
    <xdr:graphicFrame macro="">
      <xdr:nvGraphicFramePr>
        <xdr:cNvPr id="63" name="Chart 62">
          <a:extLst>
            <a:ext uri="{FF2B5EF4-FFF2-40B4-BE49-F238E27FC236}">
              <a16:creationId xmlns:a16="http://schemas.microsoft.com/office/drawing/2014/main" id="{674E37C8-0B06-46FE-B2F9-3BE2991FCF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594360</xdr:colOff>
      <xdr:row>21</xdr:row>
      <xdr:rowOff>83820</xdr:rowOff>
    </xdr:from>
    <xdr:to>
      <xdr:col>14</xdr:col>
      <xdr:colOff>137160</xdr:colOff>
      <xdr:row>38</xdr:row>
      <xdr:rowOff>91440</xdr:rowOff>
    </xdr:to>
    <xdr:sp macro="" textlink="">
      <xdr:nvSpPr>
        <xdr:cNvPr id="74" name="Rectangle 73">
          <a:extLst>
            <a:ext uri="{FF2B5EF4-FFF2-40B4-BE49-F238E27FC236}">
              <a16:creationId xmlns:a16="http://schemas.microsoft.com/office/drawing/2014/main" id="{37408B20-40E2-4DD7-A56E-74092BA68439}"/>
            </a:ext>
          </a:extLst>
        </xdr:cNvPr>
        <xdr:cNvSpPr/>
      </xdr:nvSpPr>
      <xdr:spPr>
        <a:xfrm>
          <a:off x="2202180" y="3924300"/>
          <a:ext cx="5638800" cy="311658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0</xdr:colOff>
      <xdr:row>22</xdr:row>
      <xdr:rowOff>0</xdr:rowOff>
    </xdr:from>
    <xdr:to>
      <xdr:col>10</xdr:col>
      <xdr:colOff>190500</xdr:colOff>
      <xdr:row>37</xdr:row>
      <xdr:rowOff>0</xdr:rowOff>
    </xdr:to>
    <xdr:graphicFrame macro="">
      <xdr:nvGraphicFramePr>
        <xdr:cNvPr id="71" name="Chart 70">
          <a:extLst>
            <a:ext uri="{FF2B5EF4-FFF2-40B4-BE49-F238E27FC236}">
              <a16:creationId xmlns:a16="http://schemas.microsoft.com/office/drawing/2014/main" id="{732F10DD-A8EE-458E-A7D8-A0E846138F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167640</xdr:colOff>
      <xdr:row>22</xdr:row>
      <xdr:rowOff>15241</xdr:rowOff>
    </xdr:from>
    <xdr:to>
      <xdr:col>13</xdr:col>
      <xdr:colOff>441960</xdr:colOff>
      <xdr:row>37</xdr:row>
      <xdr:rowOff>7621</xdr:rowOff>
    </xdr:to>
    <xdr:graphicFrame macro="">
      <xdr:nvGraphicFramePr>
        <xdr:cNvPr id="73" name="Chart 72">
          <a:extLst>
            <a:ext uri="{FF2B5EF4-FFF2-40B4-BE49-F238E27FC236}">
              <a16:creationId xmlns:a16="http://schemas.microsoft.com/office/drawing/2014/main" id="{F736413B-0B68-4918-A780-0E5CF088B3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152400</xdr:colOff>
      <xdr:row>5</xdr:row>
      <xdr:rowOff>60960</xdr:rowOff>
    </xdr:from>
    <xdr:to>
      <xdr:col>20</xdr:col>
      <xdr:colOff>601980</xdr:colOff>
      <xdr:row>20</xdr:row>
      <xdr:rowOff>45720</xdr:rowOff>
    </xdr:to>
    <xdr:graphicFrame macro="">
      <xdr:nvGraphicFramePr>
        <xdr:cNvPr id="31" name="Chart 30">
          <a:extLst>
            <a:ext uri="{FF2B5EF4-FFF2-40B4-BE49-F238E27FC236}">
              <a16:creationId xmlns:a16="http://schemas.microsoft.com/office/drawing/2014/main" id="{D803B7AA-073D-4B18-A9A4-61FF8B9E9C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132272</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289393</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15</xdr:row>
      <xdr:rowOff>165652</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153102</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140064</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esh" refreshedDate="45977.442778703706" backgroundQuery="1" createdVersion="7" refreshedVersion="6" minRefreshableVersion="3" recordCount="0" supportSubquery="1" supportAdvancedDrill="1" xr:uid="{E2573209-2131-4040-83F5-B58C8EB556F2}">
  <cacheSource type="external" connectionId="2"/>
  <cacheFields count="5">
    <cacheField name="[Measures].[Call Count]" caption="Call Count" numFmtId="0" hierarchy="18" level="32767"/>
    <cacheField name="[Measures].[Total Amount]" caption="Total Amount" numFmtId="0" hierarchy="19" level="32767"/>
    <cacheField name="[Measures].[Total Duration]" caption="Total Duration" numFmtId="0" hierarchy="20" level="32767"/>
    <cacheField name="[Measures].[Avg rating]" caption="Avg rating" numFmtId="0" hierarchy="21" level="32767"/>
    <cacheField name="[Measures].[5*calls]" caption="5*calls" numFmtId="0" hierarchy="22"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esh" refreshedDate="45977.474792939815" backgroundQuery="1" createdVersion="6" refreshedVersion="6" minRefreshableVersion="3" recordCount="0" supportSubquery="1" supportAdvancedDrill="1" xr:uid="{1E2B8584-B6DD-452C-A4B6-BC527E34C142}">
  <cacheSource type="external" connectionId="2"/>
  <cacheFields count="3">
    <cacheField name="[calls].[Representative].[Representative]" caption="Representative" numFmtId="0" hierarchy="3" level="1">
      <sharedItems count="5">
        <s v="R01"/>
        <s v="R02"/>
        <s v="R03"/>
        <s v="R04"/>
        <s v="R05"/>
      </sharedItems>
    </cacheField>
    <cacheField name="[Measures].[Call Count]" caption="Call Count" numFmtId="0" hierarchy="18" level="32767"/>
    <cacheField name="[Measures].[Total Amount]" caption="Total Amount" numFmtId="0" hierarchy="19"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esh" refreshedDate="45977.569907986108" backgroundQuery="1" createdVersion="6" refreshedVersion="6" minRefreshableVersion="3" recordCount="0" supportSubquery="1" supportAdvancedDrill="1" xr:uid="{CB811150-0A23-4C57-9FE0-57E96CFF7ED6}">
  <cacheSource type="external" connectionId="2"/>
  <cacheFields count="3">
    <cacheField name="[customers].[Gedner].[Gedner]" caption="Gedner" numFmtId="0" hierarchy="13" level="1">
      <sharedItems count="2">
        <s v="Female"/>
        <s v="Male"/>
      </sharedItems>
    </cacheField>
    <cacheField name="[customers].[City].[City]" caption="City" numFmtId="0" hierarchy="15" level="1">
      <sharedItems count="3">
        <s v="Cincinnati"/>
        <s v="Cleveland"/>
        <s v="Columbus"/>
      </sharedItems>
    </cacheField>
    <cacheField name="[Measures].[Call Count]" caption="Call C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0"/>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esh" refreshedDate="45977.577613310183" backgroundQuery="1" createdVersion="6" refreshedVersion="6" minRefreshableVersion="3" recordCount="0" supportSubquery="1" supportAdvancedDrill="1" xr:uid="{AE1DD0B5-57B3-4D74-990C-D407C25EDE53}">
  <cacheSource type="external" connectionId="2"/>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esh" refreshedDate="45977.58324965278" backgroundQuery="1" createdVersion="6" refreshedVersion="6" minRefreshableVersion="3" recordCount="0" supportSubquery="1" supportAdvancedDrill="1" xr:uid="{34E5F5A7-C25A-4C49-AB3B-FAD7D46D147F}">
  <cacheSource type="external" connectionId="2"/>
  <cacheFields count="3">
    <cacheField name="[calls].[Representative].[Representative]" caption="Representative" numFmtId="0" hierarchy="3" level="1">
      <sharedItems containsSemiMixedTypes="0" containsNonDate="0" containsString="0"/>
    </cacheField>
    <cacheField name="[Measures].[Call Count]" caption="Call Count" numFmtId="0" hierarchy="18" level="32767"/>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2"/>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PANDANA" refreshedDate="45978.892198958332" createdVersion="8" refreshedVersion="8" minRefreshableVersion="3" recordCount="5" xr:uid="{A2A20A6E-3D9B-428B-82CC-1E26797BD904}">
  <cacheSource type="worksheet">
    <worksheetSource ref="G55:H60" sheet="pivot"/>
  </cacheSource>
  <cacheFields count="2">
    <cacheField name="Rep" numFmtId="0">
      <sharedItems/>
    </cacheField>
    <cacheField name="Calls" numFmtId="0">
      <sharedItems containsSemiMixedTypes="0" containsString="0" containsNumber="1" containsInteger="1" minValue="186" maxValue="218"/>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PANDANA" refreshedDate="45978.931302777775" backgroundQuery="1" createdVersion="7" refreshedVersion="8" minRefreshableVersion="3" recordCount="0" supportSubquery="1" supportAdvancedDrill="1" xr:uid="{F1CE0C64-1A14-476B-A40E-83A77F8EC1B2}">
  <cacheSource type="external" connectionId="2"/>
  <cacheFields count="6">
    <cacheField name="[Measures].[Call Count]" caption="Call Count" numFmtId="0" hierarchy="18" level="32767"/>
    <cacheField name="[Measures].[Total Amount]" caption="Total Amount" numFmtId="0" hierarchy="19" level="32767"/>
    <cacheField name="[Measures].[Total Duration]" caption="Total Duration" numFmtId="0" hierarchy="20" level="32767"/>
    <cacheField name="[Measures].[Avg rating]" caption="Avg rating" numFmtId="0" hierarchy="21" level="32767"/>
    <cacheField name="[Measures].[5*calls]" caption="5*calls" numFmtId="0" hierarchy="22"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PANDANA" refreshedDate="45978.931303124999" backgroundQuery="1" createdVersion="7" refreshedVersion="8" minRefreshableVersion="3" recordCount="0" supportSubquery="1" supportAdvancedDrill="1" xr:uid="{0C55AF8F-213C-4D2E-8A60-673070E1F216}">
  <cacheSource type="external" connectionId="2"/>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1T00:00:00" maxDate="2023-02-01T00:00:00" count="26">
        <d v="2023-01-01T00:00:00"/>
        <d v="2023-01-02T00:00:00"/>
        <d v="2023-01-03T00:00:00"/>
        <d v="2023-01-04T00:00:00"/>
        <d v="2023-01-05T00:00:00"/>
        <d v="2023-01-06T00:00:00"/>
        <d v="2023-01-07T00:00:00"/>
        <d v="2023-01-08T00:00:00"/>
        <d v="2023-01-09T00:00:00"/>
        <d v="2023-01-10T00:00:00"/>
        <d v="2023-01-12T00:00:00"/>
        <d v="2023-01-15T00:00:00"/>
        <d v="2023-01-17T00:00:00"/>
        <d v="2023-01-18T00:00:00"/>
        <d v="2023-01-19T00:00:00"/>
        <d v="2023-01-20T00:00:00"/>
        <d v="2023-01-21T00:00:00"/>
        <d v="2023-01-22T00:00:00"/>
        <d v="2023-01-23T00:00:00"/>
        <d v="2023-01-24T00:00:00"/>
        <d v="2023-01-25T00:00:00"/>
        <d v="2023-01-26T00:00:00"/>
        <d v="2023-01-27T00:00:00"/>
        <d v="2023-01-28T00:00:00"/>
        <d v="2023-01-30T00:00:00"/>
        <d v="2023-01-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8" level="32767"/>
    <cacheField name="Unsupported0" numFmtId="0" hierarchy="26" level="32767">
      <extLst>
        <ext xmlns:x14="http://schemas.microsoft.com/office/spreadsheetml/2009/9/main" uri="{63CAB8AC-B538-458d-9737-405883B0398D}">
          <x14:cacheField ignore="1"/>
        </ext>
      </extLst>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PANDANA" refreshedDate="45978.931303703706" backgroundQuery="1" createdVersion="7" refreshedVersion="8" minRefreshableVersion="3" recordCount="0" supportSubquery="1" supportAdvancedDrill="1" xr:uid="{C5E6E2AB-34DE-4AB9-9E4F-E47571A15E19}">
  <cacheSource type="external" connectionId="2"/>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8"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2"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PANDANA" refreshedDate="45978.931304050922" backgroundQuery="1" createdVersion="6" refreshedVersion="8" minRefreshableVersion="3" recordCount="0" supportSubquery="1" supportAdvancedDrill="1" xr:uid="{0EE8D3B9-5109-487C-956B-D73717311D86}">
  <cacheSource type="external" connectionId="2"/>
  <cacheFields count="1">
    <cacheField name="[calls].[Representative].[Representative]" caption="Representative" numFmtId="0" hierarchy="3" level="1">
      <sharedItems count="1">
        <s v="R05"/>
      </sharedItems>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PANDANA" refreshedDate="45978.931304513892" backgroundQuery="1" createdVersion="6" refreshedVersion="8" minRefreshableVersion="3" recordCount="0" supportSubquery="1" supportAdvancedDrill="1" xr:uid="{21CFC783-8B12-4601-B4D1-56396BA5AAAB}">
  <cacheSource type="external" connectionId="2"/>
  <cacheFields count="3">
    <cacheField name="[Measures].[Call Count]" caption="Call Count" numFmtId="0" hierarchy="18" level="32767"/>
    <cacheField name="[calls].[Rating rounded].[Rating rounded]" caption="Rating rounded" numFmtId="0" hierarchy="10" level="1">
      <sharedItems containsSemiMixedTypes="0" containsString="0" containsNumber="1" containsInteger="1" minValue="2" maxValue="5" count="4">
        <n v="2"/>
        <n v="3"/>
        <n v="4"/>
        <n v="5"/>
      </sharedItems>
      <extLst>
        <ext xmlns:x15="http://schemas.microsoft.com/office/spreadsheetml/2010/11/main" uri="{4F2E5C28-24EA-4eb8-9CBF-B6C8F9C3D259}">
          <x15:cachedUniqueNames>
            <x15:cachedUniqueName index="0" name="[calls].[Rating rounded].&amp;[2]"/>
            <x15:cachedUniqueName index="1" name="[calls].[Rating rounded].&amp;[3]"/>
            <x15:cachedUniqueName index="2" name="[calls].[Rating rounded].&amp;[4]"/>
            <x15:cachedUniqueName index="3"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esh" refreshedDate="45977.442772569448" backgroundQuery="1" createdVersion="3" refreshedVersion="6" minRefreshableVersion="3" recordCount="0" supportSubquery="1" supportAdvancedDrill="1" xr:uid="{47A59D5E-2C61-4248-9189-6C2C040C9507}">
  <cacheSource type="external" connectionId="2">
    <extLst>
      <ext xmlns:x14="http://schemas.microsoft.com/office/spreadsheetml/2009/9/main" uri="{F057638F-6D5F-4e77-A914-E7F072B9BCA8}">
        <x14:sourceConnection name="ThisWorkbookDataModel"/>
      </ext>
    </extLst>
  </cacheSource>
  <cacheFields count="0"/>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72344058"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s v="R01"/>
    <n v="189"/>
  </r>
  <r>
    <s v="R02"/>
    <n v="218"/>
  </r>
  <r>
    <s v="R03"/>
    <n v="207"/>
  </r>
  <r>
    <s v="R04"/>
    <n v="186"/>
  </r>
  <r>
    <s v="R05"/>
    <n v="2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699AFC-C69A-452A-8505-8CBFEB1707E9}" name="PivotTable1"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C18" firstHeaderRow="1" firstDataRow="1" firstDataCol="0"/>
  <pivotFields count="2">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D8F2D1-F7D1-442D-B433-C1A8239A8578}" name="Selected rep pivot" cacheId="190" applyNumberFormats="0" applyBorderFormats="0" applyFontFormats="0" applyPatternFormats="0" applyAlignmentFormats="0" applyWidthHeightFormats="1" dataCaption="Values" updatedVersion="8" minRefreshableVersion="3" useAutoFormatting="1" rowGrandTotals="0" colGrandTotals="0" itemPrintTitles="1" createdVersion="6" indent="0" outline="1" outlineData="1" multipleFieldFilters="0">
  <location ref="C84:C85"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4">
    <format dxfId="66">
      <pivotArea dataOnly="0" labelOnly="1" fieldPosition="0">
        <references count="1">
          <reference field="0" count="0"/>
        </references>
      </pivotArea>
    </format>
    <format dxfId="65">
      <pivotArea dataOnly="0" labelOnly="1" fieldPosition="0">
        <references count="1">
          <reference field="0" count="0"/>
        </references>
      </pivotArea>
    </format>
    <format dxfId="64">
      <pivotArea dataOnly="0" labelOnly="1" fieldPosition="0">
        <references count="1">
          <reference field="0" count="0"/>
        </references>
      </pivotArea>
    </format>
    <format dxfId="41">
      <pivotArea dataOnly="0" fieldPosition="0">
        <references count="1">
          <reference field="0" count="0"/>
        </references>
      </pivotArea>
    </format>
  </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FE84FE-EC6D-4C70-AA0C-A45F9F950447}" name="Monthly trend" cacheId="184" applyNumberFormats="0" applyBorderFormats="0" applyFontFormats="0" applyPatternFormats="0" applyAlignmentFormats="0" applyWidthHeightFormats="1" dataCaption="Values" updatedVersion="8" minRefreshableVersion="3" useAutoFormatting="1" subtotalHiddenItems="1" itemPrintTitles="1" createdVersion="7" indent="0" outline="1" outlineData="1" multipleFieldFilters="0" chartFormat="7">
  <location ref="A16:C29"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6">
        <item x="0"/>
        <item x="1"/>
        <item x="2"/>
        <item x="3"/>
        <item x="4"/>
        <item x="5"/>
        <item x="6"/>
        <item x="7"/>
        <item x="8"/>
        <item x="9"/>
        <item x="10"/>
        <item x="11"/>
        <item x="12"/>
        <item x="13"/>
        <item x="14"/>
        <item x="15"/>
        <item x="16"/>
        <item x="17"/>
        <item x="18"/>
        <item x="19"/>
        <item x="20"/>
        <item x="21"/>
        <item x="22"/>
        <item x="23"/>
        <item x="24"/>
        <item x="25"/>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6" format="4"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E37D94-BEAB-496E-8817-6D177777798D}" name="rep pivot" cacheId="181" applyNumberFormats="0" applyBorderFormats="0" applyFontFormats="0" applyPatternFormats="0" applyAlignmentFormats="0" applyWidthHeightFormats="1" dataCaption="Values" updatedVersion="8" minRefreshableVersion="3" useAutoFormatting="1" subtotalHiddenItems="1" itemPrintTitles="1" createdVersion="7" indent="0" outline="1" outlineData="1" multipleFieldFilters="0">
  <location ref="A8:E9"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BCA7CE2-C89D-43DD-B7B0-5CBF135C1BF0}" name="PivotTable3"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97:D102"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3A1137-C167-4D1F-B3A5-5912D256C674}" name="reps pivot"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55:C61"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0924397-B335-4A03-BA4C-99BA108C0BF4}" name="Summary Pivot" cacheId="0" applyNumberFormats="0" applyBorderFormats="0" applyFontFormats="0" applyPatternFormats="0" applyAlignmentFormats="0" applyWidthHeightFormats="1" dataCaption="Values" updatedVersion="6" minRefreshableVersion="3" useAutoFormatting="1" subtotalHiddenItems="1" itemPrintTitles="1" createdVersion="7"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EBC5FAB-93D7-48AD-9996-0BD693D7C129}" name="Weekday trend" cacheId="187" applyNumberFormats="0" applyBorderFormats="0" applyFontFormats="0" applyPatternFormats="0" applyAlignmentFormats="0" applyWidthHeightFormats="1" dataCaption="Values" updatedVersion="8" minRefreshableVersion="3" useAutoFormatting="1" subtotalHiddenItems="1" itemPrintTitles="1" createdVersion="7" indent="0" outline="1" outlineData="1" multipleFieldFilters="0" chartFormat="13">
  <location ref="A42:B50" firstHeaderRow="1" firstDataRow="1" firstDataCol="1"/>
  <pivotFields count="3">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1">
    <chartFormat chart="12"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CC71CE1-B401-41E9-A3A7-80596C1861F1}" name="REP s" cacheId="19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113:B118"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pivotHierarchies count="26">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A384490-1057-4D33-BACE-A191A08B507E}" name="rep satisfaction"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04:B111"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2"/>
  </rowFields>
  <rowItems count="7">
    <i>
      <x/>
    </i>
    <i>
      <x v="1"/>
    </i>
    <i>
      <x v="2"/>
    </i>
    <i>
      <x v="3"/>
    </i>
    <i>
      <x v="4"/>
    </i>
    <i>
      <x v="5"/>
    </i>
    <i t="grand">
      <x/>
    </i>
  </rowItems>
  <colItems count="1">
    <i/>
  </colItems>
  <dataFields count="1">
    <dataField fld="1" subtotal="count" baseField="0" baseItem="0"/>
  </dataFields>
  <pivotHierarchies count="26">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0DA01E4-EA99-428B-9C4C-5DC8DA37ABEE}" name="PivotTable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89:D94"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Fields count="1">
    <field x="0"/>
  </colFields>
  <colItems count="3">
    <i>
      <x/>
    </i>
    <i>
      <x v="1"/>
    </i>
    <i t="grand">
      <x/>
    </i>
  </colItems>
  <dataFields count="1">
    <dataField fld="2" subtotal="count" baseField="0" baseItem="0"/>
  </dataFields>
  <chartFormats count="6">
    <chartFormat chart="3" format="0" series="1">
      <pivotArea type="data" outline="0" fieldPosition="0">
        <references count="2">
          <reference field="4294967294" count="1" selected="0">
            <x v="0"/>
          </reference>
          <reference field="0" count="1" selected="0">
            <x v="0"/>
          </reference>
        </references>
      </pivotArea>
    </chartFormat>
    <chartFormat chart="3" format="1" series="1">
      <pivotArea type="data" outline="0" fieldPosition="0">
        <references count="2">
          <reference field="4294967294" count="1" selected="0">
            <x v="0"/>
          </reference>
          <reference field="0" count="1" selected="0">
            <x v="1"/>
          </reference>
        </references>
      </pivotArea>
    </chartFormat>
    <chartFormat chart="4" format="2" series="1">
      <pivotArea type="data" outline="0" fieldPosition="0">
        <references count="2">
          <reference field="4294967294" count="1" selected="0">
            <x v="0"/>
          </reference>
          <reference field="0" count="1" selected="0">
            <x v="0"/>
          </reference>
        </references>
      </pivotArea>
    </chartFormat>
    <chartFormat chart="4" format="3" series="1">
      <pivotArea type="data" outline="0" fieldPosition="0">
        <references count="2">
          <reference field="4294967294" count="1" selected="0">
            <x v="0"/>
          </reference>
          <reference field="0" count="1" selected="0">
            <x v="1"/>
          </reference>
        </references>
      </pivotArea>
    </chartFormat>
    <chartFormat chart="7" format="4" series="1">
      <pivotArea type="data" outline="0" fieldPosition="0">
        <references count="2">
          <reference field="4294967294" count="1" selected="0">
            <x v="0"/>
          </reference>
          <reference field="0" count="1" selected="0">
            <x v="0"/>
          </reference>
        </references>
      </pivotArea>
    </chartFormat>
    <chartFormat chart="7" format="5" series="1">
      <pivotArea type="data" outline="0" fieldPosition="0">
        <references count="2">
          <reference field="4294967294" count="1" selected="0">
            <x v="0"/>
          </reference>
          <reference field="0" count="1" selected="0">
            <x v="1"/>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E995737-9041-45CA-8BA4-EF7FB5327D0D}" autoFormatId="16" applyNumberFormats="0" applyBorderFormats="0" applyFontFormats="0" applyPatternFormats="0" applyAlignmentFormats="0" applyWidthHeightFormats="0">
  <queryTableRefresh nextId="14">
    <queryTableFields count="13">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Satisfaction Rating]" tableColumnId="7"/>
      <queryTableField id="8" name="calls[FY]" tableColumnId="8"/>
      <queryTableField id="9" name="calls[Day of week]" tableColumnId="9"/>
      <queryTableField id="10" name="calls[Duration Bucket]" tableColumnId="10"/>
      <queryTableField id="11" name="calls[Rating rounded]" tableColumnId="11"/>
      <queryTableField id="12" name="calls[Date of Call (Month)]" tableColumnId="12"/>
      <queryTableField id="13" name="calls[Date of Call (Month Index)]" tableColumnId="13"/>
    </queryTableFields>
  </queryTableRefresh>
  <extLst>
    <ext xmlns:x15="http://schemas.microsoft.com/office/spreadsheetml/2010/11/main" uri="{883FBD77-0823-4a55-B5E3-86C4891E6966}">
      <x15:queryTable drillThrough="1"/>
    </ext>
  </extLst>
</queryTable>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4543AEC8-C758-4152-BC94-6829E2277019}" sourceName="[calls].[Representative]">
  <pivotTables>
    <pivotTable tabId="6" name="rep pivot"/>
    <pivotTable tabId="6" name="Monthly trend"/>
    <pivotTable tabId="6" name="Weekday trend"/>
    <pivotTable tabId="6" name="Selected rep pivot"/>
    <pivotTable tabId="6" name="REP s"/>
  </pivotTables>
  <data>
    <olap pivotCacheId="1972344058">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5]"/>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ACC482E2-98AC-4CA7-93FE-EF4E2E153706}" cache="Slicer_Representative" caption="Representative" level="1" style="SlicerStyleOther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EF7A198-1C8B-402E-A0CF-832AB5D843A3}" name="Table_ExternalData_1" displayName="Table_ExternalData_1" ref="A3:M192" tableType="queryTable" totalsRowShown="0">
  <autoFilter ref="A3:M192" xr:uid="{436085B3-55B6-4E7E-A6EA-13A96BA6FAB6}"/>
  <tableColumns count="13">
    <tableColumn id="1" xr3:uid="{FC8134BF-486D-4E7C-9940-98BCB845507A}" uniqueName="1" name="calls[Call number]" queryTableFieldId="1"/>
    <tableColumn id="2" xr3:uid="{63829EB5-19DF-4F04-8EAE-D3A7F408E538}" uniqueName="2" name="calls[Customer ID]" queryTableFieldId="2"/>
    <tableColumn id="3" xr3:uid="{1CE9758A-3A9F-438F-887E-101F79B03410}" uniqueName="3" name="calls[Duration]" queryTableFieldId="3"/>
    <tableColumn id="4" xr3:uid="{646F40F1-A783-4710-9277-7194B1A7CD57}" uniqueName="4" name="calls[Representative]" queryTableFieldId="4"/>
    <tableColumn id="5" xr3:uid="{A5064A33-A0DD-4D76-9529-BAA8F6EA387C}" uniqueName="5" name="calls[Date of Call]" queryTableFieldId="5" dataDxfId="67"/>
    <tableColumn id="6" xr3:uid="{452EA8FA-5FDA-4CF3-B271-A2C31FD618BA}" uniqueName="6" name="calls[Purchase Amount]" queryTableFieldId="6"/>
    <tableColumn id="7" xr3:uid="{87938F1D-70DE-49D9-8035-B3859D53B127}" uniqueName="7" name="calls[Satisfaction Rating]" queryTableFieldId="7"/>
    <tableColumn id="8" xr3:uid="{E3DD88FC-40B4-43DB-92D5-6CCA16339EA7}" uniqueName="8" name="calls[FY]" queryTableFieldId="8"/>
    <tableColumn id="9" xr3:uid="{C5B19E83-486C-498B-89F8-807109CED7BB}" uniqueName="9" name="calls[Day of week]" queryTableFieldId="9"/>
    <tableColumn id="10" xr3:uid="{30938F60-5586-4CEB-8442-B0C90DE8E43E}" uniqueName="10" name="calls[Duration Bucket]" queryTableFieldId="10"/>
    <tableColumn id="11" xr3:uid="{26A8976F-815A-4C01-8DCB-CF1104FD1658}" uniqueName="11" name="calls[Rating rounded]" queryTableFieldId="11"/>
    <tableColumn id="12" xr3:uid="{E3110D6C-7079-4EFB-B287-9408B8856AEC}" uniqueName="12" name="calls[Date of Call (Month)]" queryTableFieldId="12"/>
    <tableColumn id="13" xr3:uid="{D5834FF3-844A-49E3-9FBD-C090FA4B7311}" uniqueName="13" name="calls[Date of Call (Month Index)]"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63"/>
    <tableColumn id="5" xr3:uid="{5A35565E-8707-4DED-AD15-A0669D67B382}" name="Date of Call" dataDxfId="62"/>
    <tableColumn id="6" xr3:uid="{F2E4F158-B41F-47BC-8DF8-DFCADFEE4E40}" name="Purchase Amount"/>
    <tableColumn id="7" xr3:uid="{04B291B5-47BD-4F78-8FD8-D1551CCA6BD9}" name="Satisfaction Rating"/>
    <tableColumn id="8" xr3:uid="{6E4123C0-0B17-43B8-A142-A1E540CE974C}" name="FY" dataDxfId="61">
      <calculatedColumnFormula>IF(MONTH(calls[[#This Row],[Date of Call]])&lt;=6, YEAR(calls[[#This Row],[Date of Call]]), YEAR(calls[[#This Row],[Date of Call]])+1)</calculatedColumnFormula>
    </tableColumn>
    <tableColumn id="9" xr3:uid="{199FA271-5E9B-46CE-9BC6-2801F92CD17E}" name="Day of week" dataDxfId="60">
      <calculatedColumnFormula>TEXT(calls[[#This Row],[Date of Call]],"DDDD")</calculatedColumnFormula>
    </tableColumn>
    <tableColumn id="10" xr3:uid="{328CDB09-95B8-4D5E-9ED9-EF0D363735A1}" name="Duration Bucket" dataDxfId="59">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58">
      <calculatedColumnFormula>ROUND(calls[[#This Row],[Satisfaction Rating]],0)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57" headerRowBorderDxfId="56" tableBorderDxfId="55" totalsRowBorderDxfId="54">
  <autoFilter ref="Q3:T18" xr:uid="{27158F51-A707-4171-8A04-81FB0AABCBA5}"/>
  <tableColumns count="4">
    <tableColumn id="1" xr3:uid="{02688061-6A8C-4E23-B7FF-D00CD8B58CAC}" name="Customer ID" dataDxfId="53"/>
    <tableColumn id="2" xr3:uid="{771678B6-DB44-426B-9874-B4E421A440D5}" name="Gedner" dataDxfId="52"/>
    <tableColumn id="3" xr3:uid="{B0D41C62-587E-494D-B49A-603F2C05F8D3}" name="Age" dataDxfId="51"/>
    <tableColumn id="4" xr3:uid="{663F92D6-FE31-4D81-9E01-8D066DDC8A88}" name="City" dataDxfId="5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ustom 1">
      <a:majorFont>
        <a:latin typeface="Calibri"/>
        <a:ea typeface=""/>
        <a:cs typeface=""/>
      </a:majorFont>
      <a:minorFont>
        <a:latin typeface="Calibri"/>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rinterSettings" Target="../printerSettings/printerSettings1.bin"/><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DB891-A1F5-4B35-B60C-D47CE3648BAE}">
  <dimension ref="A1:M192"/>
  <sheetViews>
    <sheetView workbookViewId="0"/>
  </sheetViews>
  <sheetFormatPr defaultRowHeight="14.4" x14ac:dyDescent="0.3"/>
  <cols>
    <col min="1" max="1" width="18.33203125" bestFit="1" customWidth="1"/>
    <col min="2" max="2" width="18.5546875" bestFit="1" customWidth="1"/>
    <col min="3" max="3" width="15.5546875" bestFit="1" customWidth="1"/>
    <col min="4" max="4" width="20.88671875" bestFit="1" customWidth="1"/>
    <col min="5" max="5" width="17.77734375" bestFit="1" customWidth="1"/>
    <col min="6" max="6" width="23.33203125" bestFit="1" customWidth="1"/>
    <col min="7" max="7" width="24" bestFit="1" customWidth="1"/>
    <col min="8" max="8" width="10" bestFit="1" customWidth="1"/>
    <col min="9" max="9" width="18.5546875" bestFit="1" customWidth="1"/>
    <col min="10" max="10" width="21.88671875" bestFit="1" customWidth="1"/>
    <col min="11" max="11" width="21.33203125" bestFit="1" customWidth="1"/>
    <col min="12" max="12" width="25.5546875" bestFit="1" customWidth="1"/>
    <col min="13" max="13" width="30.77734375" bestFit="1" customWidth="1"/>
  </cols>
  <sheetData>
    <row r="1" spans="1:13" x14ac:dyDescent="0.3">
      <c r="A1" t="s">
        <v>1089</v>
      </c>
    </row>
    <row r="3" spans="1:13" x14ac:dyDescent="0.3">
      <c r="A3" t="s">
        <v>1071</v>
      </c>
      <c r="B3" t="s">
        <v>1072</v>
      </c>
      <c r="C3" t="s">
        <v>1073</v>
      </c>
      <c r="D3" t="s">
        <v>1074</v>
      </c>
      <c r="E3" t="s">
        <v>1075</v>
      </c>
      <c r="F3" t="s">
        <v>1076</v>
      </c>
      <c r="G3" t="s">
        <v>1077</v>
      </c>
      <c r="H3" t="s">
        <v>1078</v>
      </c>
      <c r="I3" t="s">
        <v>1079</v>
      </c>
      <c r="J3" t="s">
        <v>1080</v>
      </c>
      <c r="K3" t="s">
        <v>1081</v>
      </c>
      <c r="L3" t="s">
        <v>1082</v>
      </c>
      <c r="M3" t="s">
        <v>1083</v>
      </c>
    </row>
    <row r="4" spans="1:13" x14ac:dyDescent="0.3">
      <c r="A4" t="s">
        <v>30</v>
      </c>
      <c r="B4" t="s">
        <v>8</v>
      </c>
      <c r="C4">
        <v>128</v>
      </c>
      <c r="D4" t="s">
        <v>11</v>
      </c>
      <c r="E4" s="25">
        <v>44928</v>
      </c>
      <c r="F4">
        <v>31</v>
      </c>
      <c r="G4">
        <v>2.8</v>
      </c>
      <c r="H4">
        <v>2023</v>
      </c>
      <c r="I4" t="s">
        <v>1064</v>
      </c>
      <c r="J4" t="s">
        <v>1084</v>
      </c>
      <c r="K4">
        <v>3</v>
      </c>
      <c r="L4" t="s">
        <v>1048</v>
      </c>
      <c r="M4">
        <v>1</v>
      </c>
    </row>
    <row r="5" spans="1:13" x14ac:dyDescent="0.3">
      <c r="A5" t="s">
        <v>40</v>
      </c>
      <c r="B5" t="s">
        <v>14</v>
      </c>
      <c r="C5">
        <v>48</v>
      </c>
      <c r="D5" t="s">
        <v>11</v>
      </c>
      <c r="E5" s="25">
        <v>44930</v>
      </c>
      <c r="F5">
        <v>68</v>
      </c>
      <c r="G5">
        <v>4.9000000000000004</v>
      </c>
      <c r="H5">
        <v>2023</v>
      </c>
      <c r="I5" t="s">
        <v>1069</v>
      </c>
      <c r="J5" t="s">
        <v>1085</v>
      </c>
      <c r="K5">
        <v>5</v>
      </c>
      <c r="L5" t="s">
        <v>1048</v>
      </c>
      <c r="M5">
        <v>1</v>
      </c>
    </row>
    <row r="6" spans="1:13" x14ac:dyDescent="0.3">
      <c r="A6" t="s">
        <v>42</v>
      </c>
      <c r="B6" t="s">
        <v>18</v>
      </c>
      <c r="C6">
        <v>99</v>
      </c>
      <c r="D6" t="s">
        <v>11</v>
      </c>
      <c r="E6" s="25">
        <v>44931</v>
      </c>
      <c r="F6">
        <v>195</v>
      </c>
      <c r="G6">
        <v>3.9</v>
      </c>
      <c r="H6">
        <v>2023</v>
      </c>
      <c r="I6" t="s">
        <v>1067</v>
      </c>
      <c r="J6" t="s">
        <v>1086</v>
      </c>
      <c r="K6">
        <v>4</v>
      </c>
      <c r="L6" t="s">
        <v>1048</v>
      </c>
      <c r="M6">
        <v>1</v>
      </c>
    </row>
    <row r="7" spans="1:13" x14ac:dyDescent="0.3">
      <c r="A7" t="s">
        <v>50</v>
      </c>
      <c r="B7" t="s">
        <v>18</v>
      </c>
      <c r="C7">
        <v>54</v>
      </c>
      <c r="D7" t="s">
        <v>11</v>
      </c>
      <c r="E7" s="25">
        <v>44934</v>
      </c>
      <c r="F7">
        <v>111</v>
      </c>
      <c r="G7">
        <v>3.3</v>
      </c>
      <c r="H7">
        <v>2023</v>
      </c>
      <c r="I7" t="s">
        <v>1066</v>
      </c>
      <c r="J7" t="s">
        <v>1085</v>
      </c>
      <c r="K7">
        <v>3</v>
      </c>
      <c r="L7" t="s">
        <v>1048</v>
      </c>
      <c r="M7">
        <v>1</v>
      </c>
    </row>
    <row r="8" spans="1:13" x14ac:dyDescent="0.3">
      <c r="A8" t="s">
        <v>55</v>
      </c>
      <c r="B8" t="s">
        <v>19</v>
      </c>
      <c r="C8">
        <v>155</v>
      </c>
      <c r="D8" t="s">
        <v>11</v>
      </c>
      <c r="E8" s="25">
        <v>44936</v>
      </c>
      <c r="F8">
        <v>110</v>
      </c>
      <c r="G8">
        <v>4.8</v>
      </c>
      <c r="H8">
        <v>2023</v>
      </c>
      <c r="I8" t="s">
        <v>1068</v>
      </c>
      <c r="J8" t="s">
        <v>1084</v>
      </c>
      <c r="K8">
        <v>5</v>
      </c>
      <c r="L8" t="s">
        <v>1048</v>
      </c>
      <c r="M8">
        <v>1</v>
      </c>
    </row>
    <row r="9" spans="1:13" x14ac:dyDescent="0.3">
      <c r="A9" t="s">
        <v>58</v>
      </c>
      <c r="B9" t="s">
        <v>8</v>
      </c>
      <c r="C9">
        <v>29</v>
      </c>
      <c r="D9" t="s">
        <v>11</v>
      </c>
      <c r="E9" s="25">
        <v>44938</v>
      </c>
      <c r="F9">
        <v>170</v>
      </c>
      <c r="G9">
        <v>5</v>
      </c>
      <c r="H9">
        <v>2023</v>
      </c>
      <c r="I9" t="s">
        <v>1067</v>
      </c>
      <c r="J9" t="s">
        <v>1087</v>
      </c>
      <c r="K9">
        <v>5</v>
      </c>
      <c r="L9" t="s">
        <v>1048</v>
      </c>
      <c r="M9">
        <v>1</v>
      </c>
    </row>
    <row r="10" spans="1:13" x14ac:dyDescent="0.3">
      <c r="A10" t="s">
        <v>70</v>
      </c>
      <c r="B10" t="s">
        <v>17</v>
      </c>
      <c r="C10">
        <v>105</v>
      </c>
      <c r="D10" t="s">
        <v>11</v>
      </c>
      <c r="E10" s="25">
        <v>44944</v>
      </c>
      <c r="F10">
        <v>56</v>
      </c>
      <c r="G10">
        <v>3.6</v>
      </c>
      <c r="H10">
        <v>2023</v>
      </c>
      <c r="I10" t="s">
        <v>1069</v>
      </c>
      <c r="J10" t="s">
        <v>1086</v>
      </c>
      <c r="K10">
        <v>4</v>
      </c>
      <c r="L10" t="s">
        <v>1048</v>
      </c>
      <c r="M10">
        <v>1</v>
      </c>
    </row>
    <row r="11" spans="1:13" x14ac:dyDescent="0.3">
      <c r="A11" t="s">
        <v>72</v>
      </c>
      <c r="B11" t="s">
        <v>21</v>
      </c>
      <c r="C11">
        <v>131</v>
      </c>
      <c r="D11" t="s">
        <v>11</v>
      </c>
      <c r="E11" s="25">
        <v>44945</v>
      </c>
      <c r="F11">
        <v>78</v>
      </c>
      <c r="G11">
        <v>4.4000000000000004</v>
      </c>
      <c r="H11">
        <v>2023</v>
      </c>
      <c r="I11" t="s">
        <v>1067</v>
      </c>
      <c r="J11" t="s">
        <v>1084</v>
      </c>
      <c r="K11">
        <v>4</v>
      </c>
      <c r="L11" t="s">
        <v>1048</v>
      </c>
      <c r="M11">
        <v>1</v>
      </c>
    </row>
    <row r="12" spans="1:13" x14ac:dyDescent="0.3">
      <c r="A12" t="s">
        <v>76</v>
      </c>
      <c r="B12" t="s">
        <v>24</v>
      </c>
      <c r="C12">
        <v>149</v>
      </c>
      <c r="D12" t="s">
        <v>11</v>
      </c>
      <c r="E12" s="25">
        <v>44946</v>
      </c>
      <c r="F12">
        <v>72</v>
      </c>
      <c r="G12">
        <v>4.3</v>
      </c>
      <c r="H12">
        <v>2023</v>
      </c>
      <c r="I12" t="s">
        <v>1063</v>
      </c>
      <c r="J12" t="s">
        <v>1084</v>
      </c>
      <c r="K12">
        <v>4</v>
      </c>
      <c r="L12" t="s">
        <v>1048</v>
      </c>
      <c r="M12">
        <v>1</v>
      </c>
    </row>
    <row r="13" spans="1:13" x14ac:dyDescent="0.3">
      <c r="A13" t="s">
        <v>79</v>
      </c>
      <c r="B13" t="s">
        <v>5</v>
      </c>
      <c r="C13">
        <v>157</v>
      </c>
      <c r="D13" t="s">
        <v>11</v>
      </c>
      <c r="E13" s="25">
        <v>44947</v>
      </c>
      <c r="F13">
        <v>69</v>
      </c>
      <c r="G13">
        <v>4.5</v>
      </c>
      <c r="H13">
        <v>2023</v>
      </c>
      <c r="I13" t="s">
        <v>1065</v>
      </c>
      <c r="J13" t="s">
        <v>1084</v>
      </c>
      <c r="K13">
        <v>5</v>
      </c>
      <c r="L13" t="s">
        <v>1048</v>
      </c>
      <c r="M13">
        <v>1</v>
      </c>
    </row>
    <row r="14" spans="1:13" x14ac:dyDescent="0.3">
      <c r="A14" t="s">
        <v>81</v>
      </c>
      <c r="B14" t="s">
        <v>16</v>
      </c>
      <c r="C14">
        <v>83</v>
      </c>
      <c r="D14" t="s">
        <v>11</v>
      </c>
      <c r="E14" s="25">
        <v>44948</v>
      </c>
      <c r="F14">
        <v>28</v>
      </c>
      <c r="G14">
        <v>4.5</v>
      </c>
      <c r="H14">
        <v>2023</v>
      </c>
      <c r="I14" t="s">
        <v>1066</v>
      </c>
      <c r="J14" t="s">
        <v>1086</v>
      </c>
      <c r="K14">
        <v>5</v>
      </c>
      <c r="L14" t="s">
        <v>1048</v>
      </c>
      <c r="M14">
        <v>1</v>
      </c>
    </row>
    <row r="15" spans="1:13" x14ac:dyDescent="0.3">
      <c r="A15" t="s">
        <v>86</v>
      </c>
      <c r="B15" t="s">
        <v>14</v>
      </c>
      <c r="C15">
        <v>74</v>
      </c>
      <c r="D15" t="s">
        <v>11</v>
      </c>
      <c r="E15" s="25">
        <v>44950</v>
      </c>
      <c r="F15">
        <v>66</v>
      </c>
      <c r="G15">
        <v>4</v>
      </c>
      <c r="H15">
        <v>2023</v>
      </c>
      <c r="I15" t="s">
        <v>1068</v>
      </c>
      <c r="J15" t="s">
        <v>1086</v>
      </c>
      <c r="K15">
        <v>4</v>
      </c>
      <c r="L15" t="s">
        <v>1048</v>
      </c>
      <c r="M15">
        <v>1</v>
      </c>
    </row>
    <row r="16" spans="1:13" x14ac:dyDescent="0.3">
      <c r="A16" t="s">
        <v>94</v>
      </c>
      <c r="B16" t="s">
        <v>23</v>
      </c>
      <c r="C16">
        <v>81</v>
      </c>
      <c r="D16" t="s">
        <v>11</v>
      </c>
      <c r="E16" s="25">
        <v>44953</v>
      </c>
      <c r="F16">
        <v>156</v>
      </c>
      <c r="G16">
        <v>2.6</v>
      </c>
      <c r="H16">
        <v>2023</v>
      </c>
      <c r="I16" t="s">
        <v>1063</v>
      </c>
      <c r="J16" t="s">
        <v>1086</v>
      </c>
      <c r="K16">
        <v>3</v>
      </c>
      <c r="L16" t="s">
        <v>1048</v>
      </c>
      <c r="M16">
        <v>1</v>
      </c>
    </row>
    <row r="17" spans="1:13" x14ac:dyDescent="0.3">
      <c r="A17" t="s">
        <v>97</v>
      </c>
      <c r="B17" t="s">
        <v>17</v>
      </c>
      <c r="C17">
        <v>101</v>
      </c>
      <c r="D17" t="s">
        <v>11</v>
      </c>
      <c r="E17" s="25">
        <v>44954</v>
      </c>
      <c r="F17">
        <v>80</v>
      </c>
      <c r="G17">
        <v>4.8</v>
      </c>
      <c r="H17">
        <v>2023</v>
      </c>
      <c r="I17" t="s">
        <v>1065</v>
      </c>
      <c r="J17" t="s">
        <v>1086</v>
      </c>
      <c r="K17">
        <v>5</v>
      </c>
      <c r="L17" t="s">
        <v>1048</v>
      </c>
      <c r="M17">
        <v>1</v>
      </c>
    </row>
    <row r="18" spans="1:13" x14ac:dyDescent="0.3">
      <c r="A18" t="s">
        <v>98</v>
      </c>
      <c r="B18" t="s">
        <v>14</v>
      </c>
      <c r="C18">
        <v>67</v>
      </c>
      <c r="D18" t="s">
        <v>11</v>
      </c>
      <c r="E18" s="25">
        <v>44954</v>
      </c>
      <c r="F18">
        <v>168</v>
      </c>
      <c r="G18">
        <v>2.6</v>
      </c>
      <c r="H18">
        <v>2023</v>
      </c>
      <c r="I18" t="s">
        <v>1065</v>
      </c>
      <c r="J18" t="s">
        <v>1086</v>
      </c>
      <c r="K18">
        <v>3</v>
      </c>
      <c r="L18" t="s">
        <v>1048</v>
      </c>
      <c r="M18">
        <v>1</v>
      </c>
    </row>
    <row r="19" spans="1:13" x14ac:dyDescent="0.3">
      <c r="A19" t="s">
        <v>100</v>
      </c>
      <c r="B19" t="s">
        <v>23</v>
      </c>
      <c r="C19">
        <v>42</v>
      </c>
      <c r="D19" t="s">
        <v>11</v>
      </c>
      <c r="E19" s="25">
        <v>44956</v>
      </c>
      <c r="F19">
        <v>205</v>
      </c>
      <c r="G19">
        <v>3.6</v>
      </c>
      <c r="H19">
        <v>2023</v>
      </c>
      <c r="I19" t="s">
        <v>1064</v>
      </c>
      <c r="J19" t="s">
        <v>1085</v>
      </c>
      <c r="K19">
        <v>4</v>
      </c>
      <c r="L19" t="s">
        <v>1048</v>
      </c>
      <c r="M19">
        <v>1</v>
      </c>
    </row>
    <row r="20" spans="1:13" x14ac:dyDescent="0.3">
      <c r="A20" t="s">
        <v>114</v>
      </c>
      <c r="B20" t="s">
        <v>5</v>
      </c>
      <c r="C20">
        <v>87</v>
      </c>
      <c r="D20" t="s">
        <v>11</v>
      </c>
      <c r="E20" s="25">
        <v>44959</v>
      </c>
      <c r="F20">
        <v>155</v>
      </c>
      <c r="G20">
        <v>4.5</v>
      </c>
      <c r="H20">
        <v>2023</v>
      </c>
      <c r="I20" t="s">
        <v>1067</v>
      </c>
      <c r="J20" t="s">
        <v>1086</v>
      </c>
      <c r="K20">
        <v>5</v>
      </c>
      <c r="L20" t="s">
        <v>1049</v>
      </c>
      <c r="M20">
        <v>2</v>
      </c>
    </row>
    <row r="21" spans="1:13" x14ac:dyDescent="0.3">
      <c r="A21" t="s">
        <v>115</v>
      </c>
      <c r="B21" t="s">
        <v>21</v>
      </c>
      <c r="C21">
        <v>143</v>
      </c>
      <c r="D21" t="s">
        <v>11</v>
      </c>
      <c r="E21" s="25">
        <v>44961</v>
      </c>
      <c r="F21">
        <v>124</v>
      </c>
      <c r="G21">
        <v>4.9000000000000004</v>
      </c>
      <c r="H21">
        <v>2023</v>
      </c>
      <c r="I21" t="s">
        <v>1065</v>
      </c>
      <c r="J21" t="s">
        <v>1084</v>
      </c>
      <c r="K21">
        <v>5</v>
      </c>
      <c r="L21" t="s">
        <v>1049</v>
      </c>
      <c r="M21">
        <v>2</v>
      </c>
    </row>
    <row r="22" spans="1:13" x14ac:dyDescent="0.3">
      <c r="A22" t="s">
        <v>117</v>
      </c>
      <c r="B22" t="s">
        <v>17</v>
      </c>
      <c r="C22">
        <v>55</v>
      </c>
      <c r="D22" t="s">
        <v>11</v>
      </c>
      <c r="E22" s="25">
        <v>44962</v>
      </c>
      <c r="F22">
        <v>78</v>
      </c>
      <c r="G22">
        <v>4.5</v>
      </c>
      <c r="H22">
        <v>2023</v>
      </c>
      <c r="I22" t="s">
        <v>1066</v>
      </c>
      <c r="J22" t="s">
        <v>1085</v>
      </c>
      <c r="K22">
        <v>5</v>
      </c>
      <c r="L22" t="s">
        <v>1049</v>
      </c>
      <c r="M22">
        <v>2</v>
      </c>
    </row>
    <row r="23" spans="1:13" x14ac:dyDescent="0.3">
      <c r="A23" t="s">
        <v>127</v>
      </c>
      <c r="B23" t="s">
        <v>16</v>
      </c>
      <c r="C23">
        <v>131</v>
      </c>
      <c r="D23" t="s">
        <v>11</v>
      </c>
      <c r="E23" s="25">
        <v>44967</v>
      </c>
      <c r="F23">
        <v>172</v>
      </c>
      <c r="G23">
        <v>2.6</v>
      </c>
      <c r="H23">
        <v>2023</v>
      </c>
      <c r="I23" t="s">
        <v>1063</v>
      </c>
      <c r="J23" t="s">
        <v>1084</v>
      </c>
      <c r="K23">
        <v>3</v>
      </c>
      <c r="L23" t="s">
        <v>1049</v>
      </c>
      <c r="M23">
        <v>2</v>
      </c>
    </row>
    <row r="24" spans="1:13" x14ac:dyDescent="0.3">
      <c r="A24" t="s">
        <v>129</v>
      </c>
      <c r="B24" t="s">
        <v>21</v>
      </c>
      <c r="C24">
        <v>111</v>
      </c>
      <c r="D24" t="s">
        <v>11</v>
      </c>
      <c r="E24" s="25">
        <v>44969</v>
      </c>
      <c r="F24">
        <v>43</v>
      </c>
      <c r="G24">
        <v>3.9</v>
      </c>
      <c r="H24">
        <v>2023</v>
      </c>
      <c r="I24" t="s">
        <v>1066</v>
      </c>
      <c r="J24" t="s">
        <v>1086</v>
      </c>
      <c r="K24">
        <v>4</v>
      </c>
      <c r="L24" t="s">
        <v>1049</v>
      </c>
      <c r="M24">
        <v>2</v>
      </c>
    </row>
    <row r="25" spans="1:13" x14ac:dyDescent="0.3">
      <c r="A25" t="s">
        <v>133</v>
      </c>
      <c r="B25" t="s">
        <v>19</v>
      </c>
      <c r="C25">
        <v>137</v>
      </c>
      <c r="D25" t="s">
        <v>11</v>
      </c>
      <c r="E25" s="25">
        <v>44970</v>
      </c>
      <c r="F25">
        <v>34</v>
      </c>
      <c r="G25">
        <v>2.9</v>
      </c>
      <c r="H25">
        <v>2023</v>
      </c>
      <c r="I25" t="s">
        <v>1064</v>
      </c>
      <c r="J25" t="s">
        <v>1084</v>
      </c>
      <c r="K25">
        <v>3</v>
      </c>
      <c r="L25" t="s">
        <v>1049</v>
      </c>
      <c r="M25">
        <v>2</v>
      </c>
    </row>
    <row r="26" spans="1:13" x14ac:dyDescent="0.3">
      <c r="A26" t="s">
        <v>138</v>
      </c>
      <c r="B26" t="s">
        <v>8</v>
      </c>
      <c r="C26">
        <v>19</v>
      </c>
      <c r="D26" t="s">
        <v>11</v>
      </c>
      <c r="E26" s="25">
        <v>44972</v>
      </c>
      <c r="F26">
        <v>28</v>
      </c>
      <c r="G26">
        <v>4.9000000000000004</v>
      </c>
      <c r="H26">
        <v>2023</v>
      </c>
      <c r="I26" t="s">
        <v>1069</v>
      </c>
      <c r="J26" t="s">
        <v>1087</v>
      </c>
      <c r="K26">
        <v>5</v>
      </c>
      <c r="L26" t="s">
        <v>1049</v>
      </c>
      <c r="M26">
        <v>2</v>
      </c>
    </row>
    <row r="27" spans="1:13" x14ac:dyDescent="0.3">
      <c r="A27" t="s">
        <v>140</v>
      </c>
      <c r="B27" t="s">
        <v>14</v>
      </c>
      <c r="C27">
        <v>55</v>
      </c>
      <c r="D27" t="s">
        <v>11</v>
      </c>
      <c r="E27" s="25">
        <v>44972</v>
      </c>
      <c r="F27">
        <v>23</v>
      </c>
      <c r="G27">
        <v>3.6</v>
      </c>
      <c r="H27">
        <v>2023</v>
      </c>
      <c r="I27" t="s">
        <v>1069</v>
      </c>
      <c r="J27" t="s">
        <v>1085</v>
      </c>
      <c r="K27">
        <v>4</v>
      </c>
      <c r="L27" t="s">
        <v>1049</v>
      </c>
      <c r="M27">
        <v>2</v>
      </c>
    </row>
    <row r="28" spans="1:13" x14ac:dyDescent="0.3">
      <c r="A28" t="s">
        <v>151</v>
      </c>
      <c r="B28" t="s">
        <v>8</v>
      </c>
      <c r="C28">
        <v>114</v>
      </c>
      <c r="D28" t="s">
        <v>11</v>
      </c>
      <c r="E28" s="25">
        <v>44976</v>
      </c>
      <c r="F28">
        <v>54</v>
      </c>
      <c r="G28">
        <v>1.1000000000000001</v>
      </c>
      <c r="H28">
        <v>2023</v>
      </c>
      <c r="I28" t="s">
        <v>1066</v>
      </c>
      <c r="J28" t="s">
        <v>1086</v>
      </c>
      <c r="K28">
        <v>1</v>
      </c>
      <c r="L28" t="s">
        <v>1049</v>
      </c>
      <c r="M28">
        <v>2</v>
      </c>
    </row>
    <row r="29" spans="1:13" x14ac:dyDescent="0.3">
      <c r="A29" t="s">
        <v>152</v>
      </c>
      <c r="B29" t="s">
        <v>12</v>
      </c>
      <c r="C29">
        <v>155</v>
      </c>
      <c r="D29" t="s">
        <v>11</v>
      </c>
      <c r="E29" s="25">
        <v>44977</v>
      </c>
      <c r="F29">
        <v>80</v>
      </c>
      <c r="G29">
        <v>3.9</v>
      </c>
      <c r="H29">
        <v>2023</v>
      </c>
      <c r="I29" t="s">
        <v>1064</v>
      </c>
      <c r="J29" t="s">
        <v>1084</v>
      </c>
      <c r="K29">
        <v>4</v>
      </c>
      <c r="L29" t="s">
        <v>1049</v>
      </c>
      <c r="M29">
        <v>2</v>
      </c>
    </row>
    <row r="30" spans="1:13" x14ac:dyDescent="0.3">
      <c r="A30" t="s">
        <v>157</v>
      </c>
      <c r="B30" t="s">
        <v>18</v>
      </c>
      <c r="C30">
        <v>154</v>
      </c>
      <c r="D30" t="s">
        <v>11</v>
      </c>
      <c r="E30" s="25">
        <v>44979</v>
      </c>
      <c r="F30">
        <v>22</v>
      </c>
      <c r="G30">
        <v>3.4</v>
      </c>
      <c r="H30">
        <v>2023</v>
      </c>
      <c r="I30" t="s">
        <v>1069</v>
      </c>
      <c r="J30" t="s">
        <v>1084</v>
      </c>
      <c r="K30">
        <v>3</v>
      </c>
      <c r="L30" t="s">
        <v>1049</v>
      </c>
      <c r="M30">
        <v>2</v>
      </c>
    </row>
    <row r="31" spans="1:13" x14ac:dyDescent="0.3">
      <c r="A31" t="s">
        <v>164</v>
      </c>
      <c r="B31" t="s">
        <v>16</v>
      </c>
      <c r="C31">
        <v>102</v>
      </c>
      <c r="D31" t="s">
        <v>11</v>
      </c>
      <c r="E31" s="25">
        <v>44983</v>
      </c>
      <c r="F31">
        <v>165</v>
      </c>
      <c r="G31">
        <v>2.7</v>
      </c>
      <c r="H31">
        <v>2023</v>
      </c>
      <c r="I31" t="s">
        <v>1066</v>
      </c>
      <c r="J31" t="s">
        <v>1086</v>
      </c>
      <c r="K31">
        <v>3</v>
      </c>
      <c r="L31" t="s">
        <v>1049</v>
      </c>
      <c r="M31">
        <v>2</v>
      </c>
    </row>
    <row r="32" spans="1:13" x14ac:dyDescent="0.3">
      <c r="A32" t="s">
        <v>166</v>
      </c>
      <c r="B32" t="s">
        <v>12</v>
      </c>
      <c r="C32">
        <v>6</v>
      </c>
      <c r="D32" t="s">
        <v>11</v>
      </c>
      <c r="E32" s="25">
        <v>44984</v>
      </c>
      <c r="F32">
        <v>102</v>
      </c>
      <c r="G32">
        <v>4.4000000000000004</v>
      </c>
      <c r="H32">
        <v>2023</v>
      </c>
      <c r="I32" t="s">
        <v>1064</v>
      </c>
      <c r="J32" t="s">
        <v>1088</v>
      </c>
      <c r="K32">
        <v>4</v>
      </c>
      <c r="L32" t="s">
        <v>1049</v>
      </c>
      <c r="M32">
        <v>2</v>
      </c>
    </row>
    <row r="33" spans="1:13" x14ac:dyDescent="0.3">
      <c r="A33" t="s">
        <v>170</v>
      </c>
      <c r="B33" t="s">
        <v>23</v>
      </c>
      <c r="C33">
        <v>53</v>
      </c>
      <c r="D33" t="s">
        <v>11</v>
      </c>
      <c r="E33" s="25">
        <v>44985</v>
      </c>
      <c r="F33">
        <v>80</v>
      </c>
      <c r="G33">
        <v>2.6</v>
      </c>
      <c r="H33">
        <v>2023</v>
      </c>
      <c r="I33" t="s">
        <v>1068</v>
      </c>
      <c r="J33" t="s">
        <v>1085</v>
      </c>
      <c r="K33">
        <v>3</v>
      </c>
      <c r="L33" t="s">
        <v>1049</v>
      </c>
      <c r="M33">
        <v>2</v>
      </c>
    </row>
    <row r="34" spans="1:13" x14ac:dyDescent="0.3">
      <c r="A34" t="s">
        <v>175</v>
      </c>
      <c r="B34" t="s">
        <v>19</v>
      </c>
      <c r="C34">
        <v>152</v>
      </c>
      <c r="D34" t="s">
        <v>11</v>
      </c>
      <c r="E34" s="25">
        <v>44986</v>
      </c>
      <c r="F34">
        <v>215</v>
      </c>
      <c r="G34">
        <v>4.4000000000000004</v>
      </c>
      <c r="H34">
        <v>2023</v>
      </c>
      <c r="I34" t="s">
        <v>1069</v>
      </c>
      <c r="J34" t="s">
        <v>1084</v>
      </c>
      <c r="K34">
        <v>4</v>
      </c>
      <c r="L34" t="s">
        <v>1050</v>
      </c>
      <c r="M34">
        <v>3</v>
      </c>
    </row>
    <row r="35" spans="1:13" x14ac:dyDescent="0.3">
      <c r="A35" t="s">
        <v>180</v>
      </c>
      <c r="B35" t="s">
        <v>24</v>
      </c>
      <c r="C35">
        <v>98</v>
      </c>
      <c r="D35" t="s">
        <v>11</v>
      </c>
      <c r="E35" s="25">
        <v>44987</v>
      </c>
      <c r="F35">
        <v>100</v>
      </c>
      <c r="G35">
        <v>3.8</v>
      </c>
      <c r="H35">
        <v>2023</v>
      </c>
      <c r="I35" t="s">
        <v>1067</v>
      </c>
      <c r="J35" t="s">
        <v>1086</v>
      </c>
      <c r="K35">
        <v>4</v>
      </c>
      <c r="L35" t="s">
        <v>1050</v>
      </c>
      <c r="M35">
        <v>3</v>
      </c>
    </row>
    <row r="36" spans="1:13" x14ac:dyDescent="0.3">
      <c r="A36" t="s">
        <v>186</v>
      </c>
      <c r="B36" t="s">
        <v>12</v>
      </c>
      <c r="C36">
        <v>113</v>
      </c>
      <c r="D36" t="s">
        <v>11</v>
      </c>
      <c r="E36" s="25">
        <v>44988</v>
      </c>
      <c r="F36">
        <v>123</v>
      </c>
      <c r="G36">
        <v>4.4000000000000004</v>
      </c>
      <c r="H36">
        <v>2023</v>
      </c>
      <c r="I36" t="s">
        <v>1063</v>
      </c>
      <c r="J36" t="s">
        <v>1086</v>
      </c>
      <c r="K36">
        <v>4</v>
      </c>
      <c r="L36" t="s">
        <v>1050</v>
      </c>
      <c r="M36">
        <v>3</v>
      </c>
    </row>
    <row r="37" spans="1:13" x14ac:dyDescent="0.3">
      <c r="A37" t="s">
        <v>191</v>
      </c>
      <c r="B37" t="s">
        <v>17</v>
      </c>
      <c r="C37">
        <v>86</v>
      </c>
      <c r="D37" t="s">
        <v>11</v>
      </c>
      <c r="E37" s="25">
        <v>44988</v>
      </c>
      <c r="F37">
        <v>68</v>
      </c>
      <c r="G37">
        <v>3</v>
      </c>
      <c r="H37">
        <v>2023</v>
      </c>
      <c r="I37" t="s">
        <v>1063</v>
      </c>
      <c r="J37" t="s">
        <v>1086</v>
      </c>
      <c r="K37">
        <v>3</v>
      </c>
      <c r="L37" t="s">
        <v>1050</v>
      </c>
      <c r="M37">
        <v>3</v>
      </c>
    </row>
    <row r="38" spans="1:13" x14ac:dyDescent="0.3">
      <c r="A38" t="s">
        <v>194</v>
      </c>
      <c r="B38" t="s">
        <v>7</v>
      </c>
      <c r="C38">
        <v>82</v>
      </c>
      <c r="D38" t="s">
        <v>11</v>
      </c>
      <c r="E38" s="25">
        <v>44989</v>
      </c>
      <c r="F38">
        <v>93</v>
      </c>
      <c r="G38">
        <v>2.7</v>
      </c>
      <c r="H38">
        <v>2023</v>
      </c>
      <c r="I38" t="s">
        <v>1065</v>
      </c>
      <c r="J38" t="s">
        <v>1086</v>
      </c>
      <c r="K38">
        <v>3</v>
      </c>
      <c r="L38" t="s">
        <v>1050</v>
      </c>
      <c r="M38">
        <v>3</v>
      </c>
    </row>
    <row r="39" spans="1:13" x14ac:dyDescent="0.3">
      <c r="A39" t="s">
        <v>200</v>
      </c>
      <c r="B39" t="s">
        <v>16</v>
      </c>
      <c r="C39">
        <v>67</v>
      </c>
      <c r="D39" t="s">
        <v>11</v>
      </c>
      <c r="E39" s="25">
        <v>44990</v>
      </c>
      <c r="F39">
        <v>40</v>
      </c>
      <c r="G39">
        <v>5</v>
      </c>
      <c r="H39">
        <v>2023</v>
      </c>
      <c r="I39" t="s">
        <v>1066</v>
      </c>
      <c r="J39" t="s">
        <v>1086</v>
      </c>
      <c r="K39">
        <v>5</v>
      </c>
      <c r="L39" t="s">
        <v>1050</v>
      </c>
      <c r="M39">
        <v>3</v>
      </c>
    </row>
    <row r="40" spans="1:13" x14ac:dyDescent="0.3">
      <c r="A40" t="s">
        <v>204</v>
      </c>
      <c r="B40" t="s">
        <v>15</v>
      </c>
      <c r="C40">
        <v>153</v>
      </c>
      <c r="D40" t="s">
        <v>11</v>
      </c>
      <c r="E40" s="25">
        <v>44991</v>
      </c>
      <c r="F40">
        <v>34</v>
      </c>
      <c r="G40">
        <v>3</v>
      </c>
      <c r="H40">
        <v>2023</v>
      </c>
      <c r="I40" t="s">
        <v>1064</v>
      </c>
      <c r="J40" t="s">
        <v>1084</v>
      </c>
      <c r="K40">
        <v>3</v>
      </c>
      <c r="L40" t="s">
        <v>1050</v>
      </c>
      <c r="M40">
        <v>3</v>
      </c>
    </row>
    <row r="41" spans="1:13" x14ac:dyDescent="0.3">
      <c r="A41" t="s">
        <v>213</v>
      </c>
      <c r="B41" t="s">
        <v>24</v>
      </c>
      <c r="C41">
        <v>134</v>
      </c>
      <c r="D41" t="s">
        <v>11</v>
      </c>
      <c r="E41" s="25">
        <v>44992</v>
      </c>
      <c r="F41">
        <v>160</v>
      </c>
      <c r="G41">
        <v>4.5</v>
      </c>
      <c r="H41">
        <v>2023</v>
      </c>
      <c r="I41" t="s">
        <v>1068</v>
      </c>
      <c r="J41" t="s">
        <v>1084</v>
      </c>
      <c r="K41">
        <v>5</v>
      </c>
      <c r="L41" t="s">
        <v>1050</v>
      </c>
      <c r="M41">
        <v>3</v>
      </c>
    </row>
    <row r="42" spans="1:13" x14ac:dyDescent="0.3">
      <c r="A42" t="s">
        <v>218</v>
      </c>
      <c r="B42" t="s">
        <v>14</v>
      </c>
      <c r="C42">
        <v>80</v>
      </c>
      <c r="D42" t="s">
        <v>11</v>
      </c>
      <c r="E42" s="25">
        <v>44994</v>
      </c>
      <c r="F42">
        <v>168</v>
      </c>
      <c r="G42">
        <v>3.7</v>
      </c>
      <c r="H42">
        <v>2023</v>
      </c>
      <c r="I42" t="s">
        <v>1067</v>
      </c>
      <c r="J42" t="s">
        <v>1086</v>
      </c>
      <c r="K42">
        <v>4</v>
      </c>
      <c r="L42" t="s">
        <v>1050</v>
      </c>
      <c r="M42">
        <v>3</v>
      </c>
    </row>
    <row r="43" spans="1:13" x14ac:dyDescent="0.3">
      <c r="A43" t="s">
        <v>225</v>
      </c>
      <c r="B43" t="s">
        <v>20</v>
      </c>
      <c r="C43">
        <v>93</v>
      </c>
      <c r="D43" t="s">
        <v>11</v>
      </c>
      <c r="E43" s="25">
        <v>44996</v>
      </c>
      <c r="F43">
        <v>132</v>
      </c>
      <c r="G43">
        <v>3.7</v>
      </c>
      <c r="H43">
        <v>2023</v>
      </c>
      <c r="I43" t="s">
        <v>1065</v>
      </c>
      <c r="J43" t="s">
        <v>1086</v>
      </c>
      <c r="K43">
        <v>4</v>
      </c>
      <c r="L43" t="s">
        <v>1050</v>
      </c>
      <c r="M43">
        <v>3</v>
      </c>
    </row>
    <row r="44" spans="1:13" x14ac:dyDescent="0.3">
      <c r="A44" t="s">
        <v>235</v>
      </c>
      <c r="B44" t="s">
        <v>17</v>
      </c>
      <c r="C44">
        <v>61</v>
      </c>
      <c r="D44" t="s">
        <v>11</v>
      </c>
      <c r="E44" s="25">
        <v>44998</v>
      </c>
      <c r="F44">
        <v>160</v>
      </c>
      <c r="G44">
        <v>4.9000000000000004</v>
      </c>
      <c r="H44">
        <v>2023</v>
      </c>
      <c r="I44" t="s">
        <v>1064</v>
      </c>
      <c r="J44" t="s">
        <v>1086</v>
      </c>
      <c r="K44">
        <v>5</v>
      </c>
      <c r="L44" t="s">
        <v>1050</v>
      </c>
      <c r="M44">
        <v>3</v>
      </c>
    </row>
    <row r="45" spans="1:13" x14ac:dyDescent="0.3">
      <c r="A45" t="s">
        <v>239</v>
      </c>
      <c r="B45" t="s">
        <v>16</v>
      </c>
      <c r="C45">
        <v>13</v>
      </c>
      <c r="D45" t="s">
        <v>11</v>
      </c>
      <c r="E45" s="25">
        <v>44999</v>
      </c>
      <c r="F45">
        <v>63</v>
      </c>
      <c r="G45">
        <v>4.0999999999999996</v>
      </c>
      <c r="H45">
        <v>2023</v>
      </c>
      <c r="I45" t="s">
        <v>1068</v>
      </c>
      <c r="J45" t="s">
        <v>1087</v>
      </c>
      <c r="K45">
        <v>4</v>
      </c>
      <c r="L45" t="s">
        <v>1050</v>
      </c>
      <c r="M45">
        <v>3</v>
      </c>
    </row>
    <row r="46" spans="1:13" x14ac:dyDescent="0.3">
      <c r="A46" t="s">
        <v>262</v>
      </c>
      <c r="B46" t="s">
        <v>20</v>
      </c>
      <c r="C46">
        <v>92</v>
      </c>
      <c r="D46" t="s">
        <v>11</v>
      </c>
      <c r="E46" s="25">
        <v>45002</v>
      </c>
      <c r="F46">
        <v>125</v>
      </c>
      <c r="G46">
        <v>4.9000000000000004</v>
      </c>
      <c r="H46">
        <v>2023</v>
      </c>
      <c r="I46" t="s">
        <v>1063</v>
      </c>
      <c r="J46" t="s">
        <v>1086</v>
      </c>
      <c r="K46">
        <v>5</v>
      </c>
      <c r="L46" t="s">
        <v>1050</v>
      </c>
      <c r="M46">
        <v>3</v>
      </c>
    </row>
    <row r="47" spans="1:13" x14ac:dyDescent="0.3">
      <c r="A47" t="s">
        <v>267</v>
      </c>
      <c r="B47" t="s">
        <v>17</v>
      </c>
      <c r="C47">
        <v>106</v>
      </c>
      <c r="D47" t="s">
        <v>11</v>
      </c>
      <c r="E47" s="25">
        <v>45003</v>
      </c>
      <c r="F47">
        <v>112</v>
      </c>
      <c r="G47">
        <v>4.4000000000000004</v>
      </c>
      <c r="H47">
        <v>2023</v>
      </c>
      <c r="I47" t="s">
        <v>1065</v>
      </c>
      <c r="J47" t="s">
        <v>1086</v>
      </c>
      <c r="K47">
        <v>4</v>
      </c>
      <c r="L47" t="s">
        <v>1050</v>
      </c>
      <c r="M47">
        <v>3</v>
      </c>
    </row>
    <row r="48" spans="1:13" x14ac:dyDescent="0.3">
      <c r="A48" t="s">
        <v>269</v>
      </c>
      <c r="B48" t="s">
        <v>7</v>
      </c>
      <c r="C48">
        <v>84</v>
      </c>
      <c r="D48" t="s">
        <v>11</v>
      </c>
      <c r="E48" s="25">
        <v>45004</v>
      </c>
      <c r="F48">
        <v>22</v>
      </c>
      <c r="G48">
        <v>3.5</v>
      </c>
      <c r="H48">
        <v>2023</v>
      </c>
      <c r="I48" t="s">
        <v>1066</v>
      </c>
      <c r="J48" t="s">
        <v>1086</v>
      </c>
      <c r="K48">
        <v>4</v>
      </c>
      <c r="L48" t="s">
        <v>1050</v>
      </c>
      <c r="M48">
        <v>3</v>
      </c>
    </row>
    <row r="49" spans="1:13" x14ac:dyDescent="0.3">
      <c r="A49" t="s">
        <v>270</v>
      </c>
      <c r="B49" t="s">
        <v>22</v>
      </c>
      <c r="C49">
        <v>140</v>
      </c>
      <c r="D49" t="s">
        <v>11</v>
      </c>
      <c r="E49" s="25">
        <v>45004</v>
      </c>
      <c r="F49">
        <v>93</v>
      </c>
      <c r="G49">
        <v>4.4000000000000004</v>
      </c>
      <c r="H49">
        <v>2023</v>
      </c>
      <c r="I49" t="s">
        <v>1066</v>
      </c>
      <c r="J49" t="s">
        <v>1084</v>
      </c>
      <c r="K49">
        <v>4</v>
      </c>
      <c r="L49" t="s">
        <v>1050</v>
      </c>
      <c r="M49">
        <v>3</v>
      </c>
    </row>
    <row r="50" spans="1:13" x14ac:dyDescent="0.3">
      <c r="A50" t="s">
        <v>271</v>
      </c>
      <c r="B50" t="s">
        <v>18</v>
      </c>
      <c r="C50">
        <v>67</v>
      </c>
      <c r="D50" t="s">
        <v>11</v>
      </c>
      <c r="E50" s="25">
        <v>45004</v>
      </c>
      <c r="F50">
        <v>45</v>
      </c>
      <c r="G50">
        <v>3.5</v>
      </c>
      <c r="H50">
        <v>2023</v>
      </c>
      <c r="I50" t="s">
        <v>1066</v>
      </c>
      <c r="J50" t="s">
        <v>1086</v>
      </c>
      <c r="K50">
        <v>4</v>
      </c>
      <c r="L50" t="s">
        <v>1050</v>
      </c>
      <c r="M50">
        <v>3</v>
      </c>
    </row>
    <row r="51" spans="1:13" x14ac:dyDescent="0.3">
      <c r="A51" t="s">
        <v>272</v>
      </c>
      <c r="B51" t="s">
        <v>12</v>
      </c>
      <c r="C51">
        <v>126</v>
      </c>
      <c r="D51" t="s">
        <v>11</v>
      </c>
      <c r="E51" s="25">
        <v>45005</v>
      </c>
      <c r="F51">
        <v>96</v>
      </c>
      <c r="G51">
        <v>3.8</v>
      </c>
      <c r="H51">
        <v>2023</v>
      </c>
      <c r="I51" t="s">
        <v>1064</v>
      </c>
      <c r="J51" t="s">
        <v>1084</v>
      </c>
      <c r="K51">
        <v>4</v>
      </c>
      <c r="L51" t="s">
        <v>1050</v>
      </c>
      <c r="M51">
        <v>3</v>
      </c>
    </row>
    <row r="52" spans="1:13" x14ac:dyDescent="0.3">
      <c r="A52" t="s">
        <v>278</v>
      </c>
      <c r="B52" t="s">
        <v>23</v>
      </c>
      <c r="C52">
        <v>102</v>
      </c>
      <c r="D52" t="s">
        <v>11</v>
      </c>
      <c r="E52" s="25">
        <v>45006</v>
      </c>
      <c r="F52">
        <v>81</v>
      </c>
      <c r="G52">
        <v>4</v>
      </c>
      <c r="H52">
        <v>2023</v>
      </c>
      <c r="I52" t="s">
        <v>1068</v>
      </c>
      <c r="J52" t="s">
        <v>1086</v>
      </c>
      <c r="K52">
        <v>4</v>
      </c>
      <c r="L52" t="s">
        <v>1050</v>
      </c>
      <c r="M52">
        <v>3</v>
      </c>
    </row>
    <row r="53" spans="1:13" x14ac:dyDescent="0.3">
      <c r="A53" t="s">
        <v>281</v>
      </c>
      <c r="B53" t="s">
        <v>15</v>
      </c>
      <c r="C53">
        <v>59</v>
      </c>
      <c r="D53" t="s">
        <v>11</v>
      </c>
      <c r="E53" s="25">
        <v>45006</v>
      </c>
      <c r="F53">
        <v>215</v>
      </c>
      <c r="G53">
        <v>4.0999999999999996</v>
      </c>
      <c r="H53">
        <v>2023</v>
      </c>
      <c r="I53" t="s">
        <v>1068</v>
      </c>
      <c r="J53" t="s">
        <v>1085</v>
      </c>
      <c r="K53">
        <v>4</v>
      </c>
      <c r="L53" t="s">
        <v>1050</v>
      </c>
      <c r="M53">
        <v>3</v>
      </c>
    </row>
    <row r="54" spans="1:13" x14ac:dyDescent="0.3">
      <c r="A54" t="s">
        <v>285</v>
      </c>
      <c r="B54" t="s">
        <v>16</v>
      </c>
      <c r="C54">
        <v>58</v>
      </c>
      <c r="D54" t="s">
        <v>11</v>
      </c>
      <c r="E54" s="25">
        <v>45007</v>
      </c>
      <c r="F54">
        <v>176</v>
      </c>
      <c r="G54">
        <v>4.2</v>
      </c>
      <c r="H54">
        <v>2023</v>
      </c>
      <c r="I54" t="s">
        <v>1069</v>
      </c>
      <c r="J54" t="s">
        <v>1085</v>
      </c>
      <c r="K54">
        <v>4</v>
      </c>
      <c r="L54" t="s">
        <v>1050</v>
      </c>
      <c r="M54">
        <v>3</v>
      </c>
    </row>
    <row r="55" spans="1:13" x14ac:dyDescent="0.3">
      <c r="A55" t="s">
        <v>302</v>
      </c>
      <c r="B55" t="s">
        <v>8</v>
      </c>
      <c r="C55">
        <v>158</v>
      </c>
      <c r="D55" t="s">
        <v>11</v>
      </c>
      <c r="E55" s="25">
        <v>45010</v>
      </c>
      <c r="F55">
        <v>60</v>
      </c>
      <c r="G55">
        <v>4.5</v>
      </c>
      <c r="H55">
        <v>2023</v>
      </c>
      <c r="I55" t="s">
        <v>1065</v>
      </c>
      <c r="J55" t="s">
        <v>1084</v>
      </c>
      <c r="K55">
        <v>5</v>
      </c>
      <c r="L55" t="s">
        <v>1050</v>
      </c>
      <c r="M55">
        <v>3</v>
      </c>
    </row>
    <row r="56" spans="1:13" x14ac:dyDescent="0.3">
      <c r="A56" t="s">
        <v>308</v>
      </c>
      <c r="B56" t="s">
        <v>15</v>
      </c>
      <c r="C56">
        <v>61</v>
      </c>
      <c r="D56" t="s">
        <v>11</v>
      </c>
      <c r="E56" s="25">
        <v>45012</v>
      </c>
      <c r="F56">
        <v>140</v>
      </c>
      <c r="G56">
        <v>1.8</v>
      </c>
      <c r="H56">
        <v>2023</v>
      </c>
      <c r="I56" t="s">
        <v>1064</v>
      </c>
      <c r="J56" t="s">
        <v>1086</v>
      </c>
      <c r="K56">
        <v>2</v>
      </c>
      <c r="L56" t="s">
        <v>1050</v>
      </c>
      <c r="M56">
        <v>3</v>
      </c>
    </row>
    <row r="57" spans="1:13" x14ac:dyDescent="0.3">
      <c r="A57" t="s">
        <v>312</v>
      </c>
      <c r="B57" t="s">
        <v>19</v>
      </c>
      <c r="C57">
        <v>39</v>
      </c>
      <c r="D57" t="s">
        <v>11</v>
      </c>
      <c r="E57" s="25">
        <v>45013</v>
      </c>
      <c r="F57">
        <v>81</v>
      </c>
      <c r="G57">
        <v>5</v>
      </c>
      <c r="H57">
        <v>2023</v>
      </c>
      <c r="I57" t="s">
        <v>1068</v>
      </c>
      <c r="J57" t="s">
        <v>1085</v>
      </c>
      <c r="K57">
        <v>5</v>
      </c>
      <c r="L57" t="s">
        <v>1050</v>
      </c>
      <c r="M57">
        <v>3</v>
      </c>
    </row>
    <row r="58" spans="1:13" x14ac:dyDescent="0.3">
      <c r="A58" t="s">
        <v>316</v>
      </c>
      <c r="B58" t="s">
        <v>15</v>
      </c>
      <c r="C58">
        <v>56</v>
      </c>
      <c r="D58" t="s">
        <v>11</v>
      </c>
      <c r="E58" s="25">
        <v>45013</v>
      </c>
      <c r="F58">
        <v>225</v>
      </c>
      <c r="G58">
        <v>4.5999999999999996</v>
      </c>
      <c r="H58">
        <v>2023</v>
      </c>
      <c r="I58" t="s">
        <v>1068</v>
      </c>
      <c r="J58" t="s">
        <v>1085</v>
      </c>
      <c r="K58">
        <v>5</v>
      </c>
      <c r="L58" t="s">
        <v>1050</v>
      </c>
      <c r="M58">
        <v>3</v>
      </c>
    </row>
    <row r="59" spans="1:13" x14ac:dyDescent="0.3">
      <c r="A59" t="s">
        <v>324</v>
      </c>
      <c r="B59" t="s">
        <v>17</v>
      </c>
      <c r="C59">
        <v>89</v>
      </c>
      <c r="D59" t="s">
        <v>11</v>
      </c>
      <c r="E59" s="25">
        <v>45016</v>
      </c>
      <c r="F59">
        <v>90</v>
      </c>
      <c r="G59">
        <v>4.5999999999999996</v>
      </c>
      <c r="H59">
        <v>2023</v>
      </c>
      <c r="I59" t="s">
        <v>1063</v>
      </c>
      <c r="J59" t="s">
        <v>1086</v>
      </c>
      <c r="K59">
        <v>5</v>
      </c>
      <c r="L59" t="s">
        <v>1050</v>
      </c>
      <c r="M59">
        <v>3</v>
      </c>
    </row>
    <row r="60" spans="1:13" x14ac:dyDescent="0.3">
      <c r="A60" t="s">
        <v>327</v>
      </c>
      <c r="B60" t="s">
        <v>21</v>
      </c>
      <c r="C60">
        <v>42</v>
      </c>
      <c r="D60" t="s">
        <v>11</v>
      </c>
      <c r="E60" s="25">
        <v>45017</v>
      </c>
      <c r="F60">
        <v>45</v>
      </c>
      <c r="G60">
        <v>1.5</v>
      </c>
      <c r="H60">
        <v>2023</v>
      </c>
      <c r="I60" t="s">
        <v>1065</v>
      </c>
      <c r="J60" t="s">
        <v>1085</v>
      </c>
      <c r="K60">
        <v>2</v>
      </c>
      <c r="L60" t="s">
        <v>1051</v>
      </c>
      <c r="M60">
        <v>4</v>
      </c>
    </row>
    <row r="61" spans="1:13" x14ac:dyDescent="0.3">
      <c r="A61" t="s">
        <v>329</v>
      </c>
      <c r="B61" t="s">
        <v>23</v>
      </c>
      <c r="C61">
        <v>20</v>
      </c>
      <c r="D61" t="s">
        <v>11</v>
      </c>
      <c r="E61" s="25">
        <v>45017</v>
      </c>
      <c r="F61">
        <v>60</v>
      </c>
      <c r="G61">
        <v>3.6</v>
      </c>
      <c r="H61">
        <v>2023</v>
      </c>
      <c r="I61" t="s">
        <v>1065</v>
      </c>
      <c r="J61" t="s">
        <v>1087</v>
      </c>
      <c r="K61">
        <v>4</v>
      </c>
      <c r="L61" t="s">
        <v>1051</v>
      </c>
      <c r="M61">
        <v>4</v>
      </c>
    </row>
    <row r="62" spans="1:13" x14ac:dyDescent="0.3">
      <c r="A62" t="s">
        <v>338</v>
      </c>
      <c r="B62" t="s">
        <v>21</v>
      </c>
      <c r="C62">
        <v>133</v>
      </c>
      <c r="D62" t="s">
        <v>11</v>
      </c>
      <c r="E62" s="25">
        <v>45020</v>
      </c>
      <c r="F62">
        <v>72</v>
      </c>
      <c r="G62">
        <v>4.4000000000000004</v>
      </c>
      <c r="H62">
        <v>2023</v>
      </c>
      <c r="I62" t="s">
        <v>1068</v>
      </c>
      <c r="J62" t="s">
        <v>1084</v>
      </c>
      <c r="K62">
        <v>4</v>
      </c>
      <c r="L62" t="s">
        <v>1051</v>
      </c>
      <c r="M62">
        <v>4</v>
      </c>
    </row>
    <row r="63" spans="1:13" x14ac:dyDescent="0.3">
      <c r="A63" t="s">
        <v>341</v>
      </c>
      <c r="B63" t="s">
        <v>14</v>
      </c>
      <c r="C63">
        <v>23</v>
      </c>
      <c r="D63" t="s">
        <v>11</v>
      </c>
      <c r="E63" s="25">
        <v>45021</v>
      </c>
      <c r="F63">
        <v>105</v>
      </c>
      <c r="G63">
        <v>4.8</v>
      </c>
      <c r="H63">
        <v>2023</v>
      </c>
      <c r="I63" t="s">
        <v>1069</v>
      </c>
      <c r="J63" t="s">
        <v>1087</v>
      </c>
      <c r="K63">
        <v>5</v>
      </c>
      <c r="L63" t="s">
        <v>1051</v>
      </c>
      <c r="M63">
        <v>4</v>
      </c>
    </row>
    <row r="64" spans="1:13" x14ac:dyDescent="0.3">
      <c r="A64" t="s">
        <v>354</v>
      </c>
      <c r="B64" t="s">
        <v>18</v>
      </c>
      <c r="C64">
        <v>104</v>
      </c>
      <c r="D64" t="s">
        <v>11</v>
      </c>
      <c r="E64" s="25">
        <v>45023</v>
      </c>
      <c r="F64">
        <v>164</v>
      </c>
      <c r="G64">
        <v>4</v>
      </c>
      <c r="H64">
        <v>2023</v>
      </c>
      <c r="I64" t="s">
        <v>1063</v>
      </c>
      <c r="J64" t="s">
        <v>1086</v>
      </c>
      <c r="K64">
        <v>4</v>
      </c>
      <c r="L64" t="s">
        <v>1051</v>
      </c>
      <c r="M64">
        <v>4</v>
      </c>
    </row>
    <row r="65" spans="1:13" x14ac:dyDescent="0.3">
      <c r="A65" t="s">
        <v>384</v>
      </c>
      <c r="B65" t="s">
        <v>17</v>
      </c>
      <c r="C65">
        <v>108</v>
      </c>
      <c r="D65" t="s">
        <v>11</v>
      </c>
      <c r="E65" s="25">
        <v>45031</v>
      </c>
      <c r="F65">
        <v>26</v>
      </c>
      <c r="G65">
        <v>3.3</v>
      </c>
      <c r="H65">
        <v>2023</v>
      </c>
      <c r="I65" t="s">
        <v>1065</v>
      </c>
      <c r="J65" t="s">
        <v>1086</v>
      </c>
      <c r="K65">
        <v>3</v>
      </c>
      <c r="L65" t="s">
        <v>1051</v>
      </c>
      <c r="M65">
        <v>4</v>
      </c>
    </row>
    <row r="66" spans="1:13" x14ac:dyDescent="0.3">
      <c r="A66" t="s">
        <v>387</v>
      </c>
      <c r="B66" t="s">
        <v>7</v>
      </c>
      <c r="C66">
        <v>55</v>
      </c>
      <c r="D66" t="s">
        <v>11</v>
      </c>
      <c r="E66" s="25">
        <v>45031</v>
      </c>
      <c r="F66">
        <v>215</v>
      </c>
      <c r="G66">
        <v>4.3</v>
      </c>
      <c r="H66">
        <v>2023</v>
      </c>
      <c r="I66" t="s">
        <v>1065</v>
      </c>
      <c r="J66" t="s">
        <v>1085</v>
      </c>
      <c r="K66">
        <v>4</v>
      </c>
      <c r="L66" t="s">
        <v>1051</v>
      </c>
      <c r="M66">
        <v>4</v>
      </c>
    </row>
    <row r="67" spans="1:13" x14ac:dyDescent="0.3">
      <c r="A67" t="s">
        <v>390</v>
      </c>
      <c r="B67" t="s">
        <v>19</v>
      </c>
      <c r="C67">
        <v>45</v>
      </c>
      <c r="D67" t="s">
        <v>11</v>
      </c>
      <c r="E67" s="25">
        <v>45032</v>
      </c>
      <c r="F67">
        <v>156</v>
      </c>
      <c r="G67">
        <v>2.7</v>
      </c>
      <c r="H67">
        <v>2023</v>
      </c>
      <c r="I67" t="s">
        <v>1066</v>
      </c>
      <c r="J67" t="s">
        <v>1085</v>
      </c>
      <c r="K67">
        <v>3</v>
      </c>
      <c r="L67" t="s">
        <v>1051</v>
      </c>
      <c r="M67">
        <v>4</v>
      </c>
    </row>
    <row r="68" spans="1:13" x14ac:dyDescent="0.3">
      <c r="A68" t="s">
        <v>394</v>
      </c>
      <c r="B68" t="s">
        <v>16</v>
      </c>
      <c r="C68">
        <v>133</v>
      </c>
      <c r="D68" t="s">
        <v>11</v>
      </c>
      <c r="E68" s="25">
        <v>45032</v>
      </c>
      <c r="F68">
        <v>100</v>
      </c>
      <c r="G68">
        <v>4</v>
      </c>
      <c r="H68">
        <v>2023</v>
      </c>
      <c r="I68" t="s">
        <v>1066</v>
      </c>
      <c r="J68" t="s">
        <v>1084</v>
      </c>
      <c r="K68">
        <v>4</v>
      </c>
      <c r="L68" t="s">
        <v>1051</v>
      </c>
      <c r="M68">
        <v>4</v>
      </c>
    </row>
    <row r="69" spans="1:13" x14ac:dyDescent="0.3">
      <c r="A69" t="s">
        <v>396</v>
      </c>
      <c r="B69" t="s">
        <v>14</v>
      </c>
      <c r="C69">
        <v>69</v>
      </c>
      <c r="D69" t="s">
        <v>11</v>
      </c>
      <c r="E69" s="25">
        <v>45032</v>
      </c>
      <c r="F69">
        <v>130</v>
      </c>
      <c r="G69">
        <v>1.9</v>
      </c>
      <c r="H69">
        <v>2023</v>
      </c>
      <c r="I69" t="s">
        <v>1066</v>
      </c>
      <c r="J69" t="s">
        <v>1086</v>
      </c>
      <c r="K69">
        <v>2</v>
      </c>
      <c r="L69" t="s">
        <v>1051</v>
      </c>
      <c r="M69">
        <v>4</v>
      </c>
    </row>
    <row r="70" spans="1:13" x14ac:dyDescent="0.3">
      <c r="A70" t="s">
        <v>404</v>
      </c>
      <c r="B70" t="s">
        <v>22</v>
      </c>
      <c r="C70">
        <v>69</v>
      </c>
      <c r="D70" t="s">
        <v>11</v>
      </c>
      <c r="E70" s="25">
        <v>45035</v>
      </c>
      <c r="F70">
        <v>32</v>
      </c>
      <c r="G70">
        <v>3.6</v>
      </c>
      <c r="H70">
        <v>2023</v>
      </c>
      <c r="I70" t="s">
        <v>1069</v>
      </c>
      <c r="J70" t="s">
        <v>1086</v>
      </c>
      <c r="K70">
        <v>4</v>
      </c>
      <c r="L70" t="s">
        <v>1051</v>
      </c>
      <c r="M70">
        <v>4</v>
      </c>
    </row>
    <row r="71" spans="1:13" x14ac:dyDescent="0.3">
      <c r="A71" t="s">
        <v>405</v>
      </c>
      <c r="B71" t="s">
        <v>17</v>
      </c>
      <c r="C71">
        <v>107</v>
      </c>
      <c r="D71" t="s">
        <v>11</v>
      </c>
      <c r="E71" s="25">
        <v>45035</v>
      </c>
      <c r="F71">
        <v>156</v>
      </c>
      <c r="G71">
        <v>3.8</v>
      </c>
      <c r="H71">
        <v>2023</v>
      </c>
      <c r="I71" t="s">
        <v>1069</v>
      </c>
      <c r="J71" t="s">
        <v>1086</v>
      </c>
      <c r="K71">
        <v>4</v>
      </c>
      <c r="L71" t="s">
        <v>1051</v>
      </c>
      <c r="M71">
        <v>4</v>
      </c>
    </row>
    <row r="72" spans="1:13" x14ac:dyDescent="0.3">
      <c r="A72" t="s">
        <v>408</v>
      </c>
      <c r="B72" t="s">
        <v>8</v>
      </c>
      <c r="C72">
        <v>47</v>
      </c>
      <c r="D72" t="s">
        <v>11</v>
      </c>
      <c r="E72" s="25">
        <v>45035</v>
      </c>
      <c r="F72">
        <v>84</v>
      </c>
      <c r="G72">
        <v>4.0999999999999996</v>
      </c>
      <c r="H72">
        <v>2023</v>
      </c>
      <c r="I72" t="s">
        <v>1069</v>
      </c>
      <c r="J72" t="s">
        <v>1085</v>
      </c>
      <c r="K72">
        <v>4</v>
      </c>
      <c r="L72" t="s">
        <v>1051</v>
      </c>
      <c r="M72">
        <v>4</v>
      </c>
    </row>
    <row r="73" spans="1:13" x14ac:dyDescent="0.3">
      <c r="A73" t="s">
        <v>411</v>
      </c>
      <c r="B73" t="s">
        <v>5</v>
      </c>
      <c r="C73">
        <v>62</v>
      </c>
      <c r="D73" t="s">
        <v>11</v>
      </c>
      <c r="E73" s="25">
        <v>45035</v>
      </c>
      <c r="F73">
        <v>35</v>
      </c>
      <c r="G73">
        <v>4.4000000000000004</v>
      </c>
      <c r="H73">
        <v>2023</v>
      </c>
      <c r="I73" t="s">
        <v>1069</v>
      </c>
      <c r="J73" t="s">
        <v>1086</v>
      </c>
      <c r="K73">
        <v>4</v>
      </c>
      <c r="L73" t="s">
        <v>1051</v>
      </c>
      <c r="M73">
        <v>4</v>
      </c>
    </row>
    <row r="74" spans="1:13" x14ac:dyDescent="0.3">
      <c r="A74" t="s">
        <v>412</v>
      </c>
      <c r="B74" t="s">
        <v>18</v>
      </c>
      <c r="C74">
        <v>88</v>
      </c>
      <c r="D74" t="s">
        <v>11</v>
      </c>
      <c r="E74" s="25">
        <v>45036</v>
      </c>
      <c r="F74">
        <v>35</v>
      </c>
      <c r="G74">
        <v>3.8</v>
      </c>
      <c r="H74">
        <v>2023</v>
      </c>
      <c r="I74" t="s">
        <v>1067</v>
      </c>
      <c r="J74" t="s">
        <v>1086</v>
      </c>
      <c r="K74">
        <v>4</v>
      </c>
      <c r="L74" t="s">
        <v>1051</v>
      </c>
      <c r="M74">
        <v>4</v>
      </c>
    </row>
    <row r="75" spans="1:13" x14ac:dyDescent="0.3">
      <c r="A75" t="s">
        <v>413</v>
      </c>
      <c r="B75" t="s">
        <v>19</v>
      </c>
      <c r="C75">
        <v>116</v>
      </c>
      <c r="D75" t="s">
        <v>11</v>
      </c>
      <c r="E75" s="25">
        <v>45036</v>
      </c>
      <c r="F75">
        <v>132</v>
      </c>
      <c r="G75">
        <v>5</v>
      </c>
      <c r="H75">
        <v>2023</v>
      </c>
      <c r="I75" t="s">
        <v>1067</v>
      </c>
      <c r="J75" t="s">
        <v>1086</v>
      </c>
      <c r="K75">
        <v>5</v>
      </c>
      <c r="L75" t="s">
        <v>1051</v>
      </c>
      <c r="M75">
        <v>4</v>
      </c>
    </row>
    <row r="76" spans="1:13" x14ac:dyDescent="0.3">
      <c r="A76" t="s">
        <v>419</v>
      </c>
      <c r="B76" t="s">
        <v>12</v>
      </c>
      <c r="C76">
        <v>123</v>
      </c>
      <c r="D76" t="s">
        <v>11</v>
      </c>
      <c r="E76" s="25">
        <v>45037</v>
      </c>
      <c r="F76">
        <v>120</v>
      </c>
      <c r="G76">
        <v>4.2</v>
      </c>
      <c r="H76">
        <v>2023</v>
      </c>
      <c r="I76" t="s">
        <v>1063</v>
      </c>
      <c r="J76" t="s">
        <v>1084</v>
      </c>
      <c r="K76">
        <v>4</v>
      </c>
      <c r="L76" t="s">
        <v>1051</v>
      </c>
      <c r="M76">
        <v>4</v>
      </c>
    </row>
    <row r="77" spans="1:13" x14ac:dyDescent="0.3">
      <c r="A77" t="s">
        <v>421</v>
      </c>
      <c r="B77" t="s">
        <v>12</v>
      </c>
      <c r="C77">
        <v>43</v>
      </c>
      <c r="D77" t="s">
        <v>11</v>
      </c>
      <c r="E77" s="25">
        <v>45038</v>
      </c>
      <c r="F77">
        <v>128</v>
      </c>
      <c r="G77">
        <v>4.7</v>
      </c>
      <c r="H77">
        <v>2023</v>
      </c>
      <c r="I77" t="s">
        <v>1065</v>
      </c>
      <c r="J77" t="s">
        <v>1085</v>
      </c>
      <c r="K77">
        <v>5</v>
      </c>
      <c r="L77" t="s">
        <v>1051</v>
      </c>
      <c r="M77">
        <v>4</v>
      </c>
    </row>
    <row r="78" spans="1:13" x14ac:dyDescent="0.3">
      <c r="A78" t="s">
        <v>423</v>
      </c>
      <c r="B78" t="s">
        <v>5</v>
      </c>
      <c r="C78">
        <v>53</v>
      </c>
      <c r="D78" t="s">
        <v>11</v>
      </c>
      <c r="E78" s="25">
        <v>45038</v>
      </c>
      <c r="F78">
        <v>110</v>
      </c>
      <c r="G78">
        <v>4.3</v>
      </c>
      <c r="H78">
        <v>2023</v>
      </c>
      <c r="I78" t="s">
        <v>1065</v>
      </c>
      <c r="J78" t="s">
        <v>1085</v>
      </c>
      <c r="K78">
        <v>4</v>
      </c>
      <c r="L78" t="s">
        <v>1051</v>
      </c>
      <c r="M78">
        <v>4</v>
      </c>
    </row>
    <row r="79" spans="1:13" x14ac:dyDescent="0.3">
      <c r="A79" t="s">
        <v>424</v>
      </c>
      <c r="B79" t="s">
        <v>12</v>
      </c>
      <c r="C79">
        <v>113</v>
      </c>
      <c r="D79" t="s">
        <v>11</v>
      </c>
      <c r="E79" s="25">
        <v>45038</v>
      </c>
      <c r="F79">
        <v>145</v>
      </c>
      <c r="G79">
        <v>4</v>
      </c>
      <c r="H79">
        <v>2023</v>
      </c>
      <c r="I79" t="s">
        <v>1065</v>
      </c>
      <c r="J79" t="s">
        <v>1086</v>
      </c>
      <c r="K79">
        <v>4</v>
      </c>
      <c r="L79" t="s">
        <v>1051</v>
      </c>
      <c r="M79">
        <v>4</v>
      </c>
    </row>
    <row r="80" spans="1:13" x14ac:dyDescent="0.3">
      <c r="A80" t="s">
        <v>427</v>
      </c>
      <c r="B80" t="s">
        <v>24</v>
      </c>
      <c r="C80">
        <v>130</v>
      </c>
      <c r="D80" t="s">
        <v>11</v>
      </c>
      <c r="E80" s="25">
        <v>45039</v>
      </c>
      <c r="F80">
        <v>120</v>
      </c>
      <c r="G80">
        <v>3.8</v>
      </c>
      <c r="H80">
        <v>2023</v>
      </c>
      <c r="I80" t="s">
        <v>1066</v>
      </c>
      <c r="J80" t="s">
        <v>1084</v>
      </c>
      <c r="K80">
        <v>4</v>
      </c>
      <c r="L80" t="s">
        <v>1051</v>
      </c>
      <c r="M80">
        <v>4</v>
      </c>
    </row>
    <row r="81" spans="1:13" x14ac:dyDescent="0.3">
      <c r="A81" t="s">
        <v>429</v>
      </c>
      <c r="B81" t="s">
        <v>22</v>
      </c>
      <c r="C81">
        <v>127</v>
      </c>
      <c r="D81" t="s">
        <v>11</v>
      </c>
      <c r="E81" s="25">
        <v>45039</v>
      </c>
      <c r="F81">
        <v>160</v>
      </c>
      <c r="G81">
        <v>3.2</v>
      </c>
      <c r="H81">
        <v>2023</v>
      </c>
      <c r="I81" t="s">
        <v>1066</v>
      </c>
      <c r="J81" t="s">
        <v>1084</v>
      </c>
      <c r="K81">
        <v>3</v>
      </c>
      <c r="L81" t="s">
        <v>1051</v>
      </c>
      <c r="M81">
        <v>4</v>
      </c>
    </row>
    <row r="82" spans="1:13" x14ac:dyDescent="0.3">
      <c r="A82" t="s">
        <v>430</v>
      </c>
      <c r="B82" t="s">
        <v>12</v>
      </c>
      <c r="C82">
        <v>50</v>
      </c>
      <c r="D82" t="s">
        <v>11</v>
      </c>
      <c r="E82" s="25">
        <v>45039</v>
      </c>
      <c r="F82">
        <v>56</v>
      </c>
      <c r="G82">
        <v>4.7</v>
      </c>
      <c r="H82">
        <v>2023</v>
      </c>
      <c r="I82" t="s">
        <v>1066</v>
      </c>
      <c r="J82" t="s">
        <v>1085</v>
      </c>
      <c r="K82">
        <v>5</v>
      </c>
      <c r="L82" t="s">
        <v>1051</v>
      </c>
      <c r="M82">
        <v>4</v>
      </c>
    </row>
    <row r="83" spans="1:13" x14ac:dyDescent="0.3">
      <c r="A83" t="s">
        <v>433</v>
      </c>
      <c r="B83" t="s">
        <v>21</v>
      </c>
      <c r="C83">
        <v>111</v>
      </c>
      <c r="D83" t="s">
        <v>11</v>
      </c>
      <c r="E83" s="25">
        <v>45040</v>
      </c>
      <c r="F83">
        <v>144</v>
      </c>
      <c r="G83">
        <v>3.9</v>
      </c>
      <c r="H83">
        <v>2023</v>
      </c>
      <c r="I83" t="s">
        <v>1064</v>
      </c>
      <c r="J83" t="s">
        <v>1086</v>
      </c>
      <c r="K83">
        <v>4</v>
      </c>
      <c r="L83" t="s">
        <v>1051</v>
      </c>
      <c r="M83">
        <v>4</v>
      </c>
    </row>
    <row r="84" spans="1:13" x14ac:dyDescent="0.3">
      <c r="A84" t="s">
        <v>438</v>
      </c>
      <c r="B84" t="s">
        <v>16</v>
      </c>
      <c r="C84">
        <v>75</v>
      </c>
      <c r="D84" t="s">
        <v>11</v>
      </c>
      <c r="E84" s="25">
        <v>45040</v>
      </c>
      <c r="F84">
        <v>43</v>
      </c>
      <c r="G84">
        <v>4.9000000000000004</v>
      </c>
      <c r="H84">
        <v>2023</v>
      </c>
      <c r="I84" t="s">
        <v>1064</v>
      </c>
      <c r="J84" t="s">
        <v>1086</v>
      </c>
      <c r="K84">
        <v>5</v>
      </c>
      <c r="L84" t="s">
        <v>1051</v>
      </c>
      <c r="M84">
        <v>4</v>
      </c>
    </row>
    <row r="85" spans="1:13" x14ac:dyDescent="0.3">
      <c r="A85" t="s">
        <v>445</v>
      </c>
      <c r="B85" t="s">
        <v>15</v>
      </c>
      <c r="C85">
        <v>126</v>
      </c>
      <c r="D85" t="s">
        <v>11</v>
      </c>
      <c r="E85" s="25">
        <v>45042</v>
      </c>
      <c r="F85">
        <v>175</v>
      </c>
      <c r="G85">
        <v>4.8</v>
      </c>
      <c r="H85">
        <v>2023</v>
      </c>
      <c r="I85" t="s">
        <v>1069</v>
      </c>
      <c r="J85" t="s">
        <v>1084</v>
      </c>
      <c r="K85">
        <v>5</v>
      </c>
      <c r="L85" t="s">
        <v>1051</v>
      </c>
      <c r="M85">
        <v>4</v>
      </c>
    </row>
    <row r="86" spans="1:13" x14ac:dyDescent="0.3">
      <c r="A86" t="s">
        <v>447</v>
      </c>
      <c r="B86" t="s">
        <v>24</v>
      </c>
      <c r="C86">
        <v>105</v>
      </c>
      <c r="D86" t="s">
        <v>11</v>
      </c>
      <c r="E86" s="25">
        <v>45042</v>
      </c>
      <c r="F86">
        <v>66</v>
      </c>
      <c r="G86">
        <v>4.2</v>
      </c>
      <c r="H86">
        <v>2023</v>
      </c>
      <c r="I86" t="s">
        <v>1069</v>
      </c>
      <c r="J86" t="s">
        <v>1086</v>
      </c>
      <c r="K86">
        <v>4</v>
      </c>
      <c r="L86" t="s">
        <v>1051</v>
      </c>
      <c r="M86">
        <v>4</v>
      </c>
    </row>
    <row r="87" spans="1:13" x14ac:dyDescent="0.3">
      <c r="A87" t="s">
        <v>448</v>
      </c>
      <c r="B87" t="s">
        <v>24</v>
      </c>
      <c r="C87">
        <v>31</v>
      </c>
      <c r="D87" t="s">
        <v>11</v>
      </c>
      <c r="E87" s="25">
        <v>45042</v>
      </c>
      <c r="F87">
        <v>25</v>
      </c>
      <c r="G87">
        <v>3.2</v>
      </c>
      <c r="H87">
        <v>2023</v>
      </c>
      <c r="I87" t="s">
        <v>1069</v>
      </c>
      <c r="J87" t="s">
        <v>1085</v>
      </c>
      <c r="K87">
        <v>3</v>
      </c>
      <c r="L87" t="s">
        <v>1051</v>
      </c>
      <c r="M87">
        <v>4</v>
      </c>
    </row>
    <row r="88" spans="1:13" x14ac:dyDescent="0.3">
      <c r="A88" t="s">
        <v>458</v>
      </c>
      <c r="B88" t="s">
        <v>22</v>
      </c>
      <c r="C88">
        <v>93</v>
      </c>
      <c r="D88" t="s">
        <v>11</v>
      </c>
      <c r="E88" s="25">
        <v>45045</v>
      </c>
      <c r="F88">
        <v>150</v>
      </c>
      <c r="G88">
        <v>4.5999999999999996</v>
      </c>
      <c r="H88">
        <v>2023</v>
      </c>
      <c r="I88" t="s">
        <v>1065</v>
      </c>
      <c r="J88" t="s">
        <v>1086</v>
      </c>
      <c r="K88">
        <v>5</v>
      </c>
      <c r="L88" t="s">
        <v>1051</v>
      </c>
      <c r="M88">
        <v>4</v>
      </c>
    </row>
    <row r="89" spans="1:13" x14ac:dyDescent="0.3">
      <c r="A89" t="s">
        <v>463</v>
      </c>
      <c r="B89" t="s">
        <v>14</v>
      </c>
      <c r="C89">
        <v>137</v>
      </c>
      <c r="D89" t="s">
        <v>11</v>
      </c>
      <c r="E89" s="25">
        <v>45047</v>
      </c>
      <c r="F89">
        <v>20</v>
      </c>
      <c r="G89">
        <v>4.2</v>
      </c>
      <c r="H89">
        <v>2023</v>
      </c>
      <c r="I89" t="s">
        <v>1064</v>
      </c>
      <c r="J89" t="s">
        <v>1084</v>
      </c>
      <c r="K89">
        <v>4</v>
      </c>
      <c r="L89" t="s">
        <v>1052</v>
      </c>
      <c r="M89">
        <v>5</v>
      </c>
    </row>
    <row r="90" spans="1:13" x14ac:dyDescent="0.3">
      <c r="A90" t="s">
        <v>467</v>
      </c>
      <c r="B90" t="s">
        <v>18</v>
      </c>
      <c r="C90">
        <v>119</v>
      </c>
      <c r="D90" t="s">
        <v>11</v>
      </c>
      <c r="E90" s="25">
        <v>45047</v>
      </c>
      <c r="F90">
        <v>105</v>
      </c>
      <c r="G90">
        <v>4.7</v>
      </c>
      <c r="H90">
        <v>2023</v>
      </c>
      <c r="I90" t="s">
        <v>1064</v>
      </c>
      <c r="J90" t="s">
        <v>1086</v>
      </c>
      <c r="K90">
        <v>5</v>
      </c>
      <c r="L90" t="s">
        <v>1052</v>
      </c>
      <c r="M90">
        <v>5</v>
      </c>
    </row>
    <row r="91" spans="1:13" x14ac:dyDescent="0.3">
      <c r="A91" t="s">
        <v>475</v>
      </c>
      <c r="B91" t="s">
        <v>5</v>
      </c>
      <c r="C91">
        <v>111</v>
      </c>
      <c r="D91" t="s">
        <v>11</v>
      </c>
      <c r="E91" s="25">
        <v>45050</v>
      </c>
      <c r="F91">
        <v>90</v>
      </c>
      <c r="G91">
        <v>2.8</v>
      </c>
      <c r="H91">
        <v>2023</v>
      </c>
      <c r="I91" t="s">
        <v>1067</v>
      </c>
      <c r="J91" t="s">
        <v>1086</v>
      </c>
      <c r="K91">
        <v>3</v>
      </c>
      <c r="L91" t="s">
        <v>1052</v>
      </c>
      <c r="M91">
        <v>5</v>
      </c>
    </row>
    <row r="92" spans="1:13" x14ac:dyDescent="0.3">
      <c r="A92" t="s">
        <v>482</v>
      </c>
      <c r="B92" t="s">
        <v>12</v>
      </c>
      <c r="C92">
        <v>31</v>
      </c>
      <c r="D92" t="s">
        <v>11</v>
      </c>
      <c r="E92" s="25">
        <v>45054</v>
      </c>
      <c r="F92">
        <v>180</v>
      </c>
      <c r="G92">
        <v>4.5</v>
      </c>
      <c r="H92">
        <v>2023</v>
      </c>
      <c r="I92" t="s">
        <v>1064</v>
      </c>
      <c r="J92" t="s">
        <v>1085</v>
      </c>
      <c r="K92">
        <v>5</v>
      </c>
      <c r="L92" t="s">
        <v>1052</v>
      </c>
      <c r="M92">
        <v>5</v>
      </c>
    </row>
    <row r="93" spans="1:13" x14ac:dyDescent="0.3">
      <c r="A93" t="s">
        <v>485</v>
      </c>
      <c r="B93" t="s">
        <v>22</v>
      </c>
      <c r="C93">
        <v>25</v>
      </c>
      <c r="D93" t="s">
        <v>11</v>
      </c>
      <c r="E93" s="25">
        <v>45054</v>
      </c>
      <c r="F93">
        <v>52</v>
      </c>
      <c r="G93">
        <v>3.8</v>
      </c>
      <c r="H93">
        <v>2023</v>
      </c>
      <c r="I93" t="s">
        <v>1064</v>
      </c>
      <c r="J93" t="s">
        <v>1087</v>
      </c>
      <c r="K93">
        <v>4</v>
      </c>
      <c r="L93" t="s">
        <v>1052</v>
      </c>
      <c r="M93">
        <v>5</v>
      </c>
    </row>
    <row r="94" spans="1:13" x14ac:dyDescent="0.3">
      <c r="A94" t="s">
        <v>489</v>
      </c>
      <c r="B94" t="s">
        <v>18</v>
      </c>
      <c r="C94">
        <v>54</v>
      </c>
      <c r="D94" t="s">
        <v>11</v>
      </c>
      <c r="E94" s="25">
        <v>45057</v>
      </c>
      <c r="F94">
        <v>31</v>
      </c>
      <c r="G94">
        <v>3.3</v>
      </c>
      <c r="H94">
        <v>2023</v>
      </c>
      <c r="I94" t="s">
        <v>1067</v>
      </c>
      <c r="J94" t="s">
        <v>1085</v>
      </c>
      <c r="K94">
        <v>3</v>
      </c>
      <c r="L94" t="s">
        <v>1052</v>
      </c>
      <c r="M94">
        <v>5</v>
      </c>
    </row>
    <row r="95" spans="1:13" x14ac:dyDescent="0.3">
      <c r="A95" t="s">
        <v>490</v>
      </c>
      <c r="B95" t="s">
        <v>23</v>
      </c>
      <c r="C95">
        <v>25</v>
      </c>
      <c r="D95" t="s">
        <v>11</v>
      </c>
      <c r="E95" s="25">
        <v>45058</v>
      </c>
      <c r="F95">
        <v>27</v>
      </c>
      <c r="G95">
        <v>3.2</v>
      </c>
      <c r="H95">
        <v>2023</v>
      </c>
      <c r="I95" t="s">
        <v>1063</v>
      </c>
      <c r="J95" t="s">
        <v>1087</v>
      </c>
      <c r="K95">
        <v>3</v>
      </c>
      <c r="L95" t="s">
        <v>1052</v>
      </c>
      <c r="M95">
        <v>5</v>
      </c>
    </row>
    <row r="96" spans="1:13" x14ac:dyDescent="0.3">
      <c r="A96" t="s">
        <v>494</v>
      </c>
      <c r="B96" t="s">
        <v>17</v>
      </c>
      <c r="C96">
        <v>92</v>
      </c>
      <c r="D96" t="s">
        <v>11</v>
      </c>
      <c r="E96" s="25">
        <v>45060</v>
      </c>
      <c r="F96">
        <v>44</v>
      </c>
      <c r="G96">
        <v>3.1</v>
      </c>
      <c r="H96">
        <v>2023</v>
      </c>
      <c r="I96" t="s">
        <v>1066</v>
      </c>
      <c r="J96" t="s">
        <v>1086</v>
      </c>
      <c r="K96">
        <v>3</v>
      </c>
      <c r="L96" t="s">
        <v>1052</v>
      </c>
      <c r="M96">
        <v>5</v>
      </c>
    </row>
    <row r="97" spans="1:13" x14ac:dyDescent="0.3">
      <c r="A97" t="s">
        <v>497</v>
      </c>
      <c r="B97" t="s">
        <v>12</v>
      </c>
      <c r="C97">
        <v>154</v>
      </c>
      <c r="D97" t="s">
        <v>11</v>
      </c>
      <c r="E97" s="25">
        <v>45061</v>
      </c>
      <c r="F97">
        <v>84</v>
      </c>
      <c r="G97">
        <v>4.3</v>
      </c>
      <c r="H97">
        <v>2023</v>
      </c>
      <c r="I97" t="s">
        <v>1064</v>
      </c>
      <c r="J97" t="s">
        <v>1084</v>
      </c>
      <c r="K97">
        <v>4</v>
      </c>
      <c r="L97" t="s">
        <v>1052</v>
      </c>
      <c r="M97">
        <v>5</v>
      </c>
    </row>
    <row r="98" spans="1:13" x14ac:dyDescent="0.3">
      <c r="A98" t="s">
        <v>501</v>
      </c>
      <c r="B98" t="s">
        <v>5</v>
      </c>
      <c r="C98">
        <v>139</v>
      </c>
      <c r="D98" t="s">
        <v>11</v>
      </c>
      <c r="E98" s="25">
        <v>45063</v>
      </c>
      <c r="F98">
        <v>220</v>
      </c>
      <c r="G98">
        <v>3.2</v>
      </c>
      <c r="H98">
        <v>2023</v>
      </c>
      <c r="I98" t="s">
        <v>1069</v>
      </c>
      <c r="J98" t="s">
        <v>1084</v>
      </c>
      <c r="K98">
        <v>3</v>
      </c>
      <c r="L98" t="s">
        <v>1052</v>
      </c>
      <c r="M98">
        <v>5</v>
      </c>
    </row>
    <row r="99" spans="1:13" x14ac:dyDescent="0.3">
      <c r="A99" t="s">
        <v>506</v>
      </c>
      <c r="B99" t="s">
        <v>12</v>
      </c>
      <c r="C99">
        <v>67</v>
      </c>
      <c r="D99" t="s">
        <v>11</v>
      </c>
      <c r="E99" s="25">
        <v>45067</v>
      </c>
      <c r="F99">
        <v>129</v>
      </c>
      <c r="G99">
        <v>4.7</v>
      </c>
      <c r="H99">
        <v>2023</v>
      </c>
      <c r="I99" t="s">
        <v>1066</v>
      </c>
      <c r="J99" t="s">
        <v>1086</v>
      </c>
      <c r="K99">
        <v>5</v>
      </c>
      <c r="L99" t="s">
        <v>1052</v>
      </c>
      <c r="M99">
        <v>5</v>
      </c>
    </row>
    <row r="100" spans="1:13" x14ac:dyDescent="0.3">
      <c r="A100" t="s">
        <v>509</v>
      </c>
      <c r="B100" t="s">
        <v>16</v>
      </c>
      <c r="C100">
        <v>117</v>
      </c>
      <c r="D100" t="s">
        <v>11</v>
      </c>
      <c r="E100" s="25">
        <v>45067</v>
      </c>
      <c r="F100">
        <v>90</v>
      </c>
      <c r="G100">
        <v>4.5</v>
      </c>
      <c r="H100">
        <v>2023</v>
      </c>
      <c r="I100" t="s">
        <v>1066</v>
      </c>
      <c r="J100" t="s">
        <v>1086</v>
      </c>
      <c r="K100">
        <v>5</v>
      </c>
      <c r="L100" t="s">
        <v>1052</v>
      </c>
      <c r="M100">
        <v>5</v>
      </c>
    </row>
    <row r="101" spans="1:13" x14ac:dyDescent="0.3">
      <c r="A101" t="s">
        <v>513</v>
      </c>
      <c r="B101" t="s">
        <v>16</v>
      </c>
      <c r="C101">
        <v>115</v>
      </c>
      <c r="D101" t="s">
        <v>11</v>
      </c>
      <c r="E101" s="25">
        <v>45068</v>
      </c>
      <c r="F101">
        <v>42</v>
      </c>
      <c r="G101">
        <v>4.7</v>
      </c>
      <c r="H101">
        <v>2023</v>
      </c>
      <c r="I101" t="s">
        <v>1064</v>
      </c>
      <c r="J101" t="s">
        <v>1086</v>
      </c>
      <c r="K101">
        <v>5</v>
      </c>
      <c r="L101" t="s">
        <v>1052</v>
      </c>
      <c r="M101">
        <v>5</v>
      </c>
    </row>
    <row r="102" spans="1:13" x14ac:dyDescent="0.3">
      <c r="A102" t="s">
        <v>526</v>
      </c>
      <c r="B102" t="s">
        <v>17</v>
      </c>
      <c r="C102">
        <v>110</v>
      </c>
      <c r="D102" t="s">
        <v>11</v>
      </c>
      <c r="E102" s="25">
        <v>45072</v>
      </c>
      <c r="F102">
        <v>82</v>
      </c>
      <c r="G102">
        <v>4</v>
      </c>
      <c r="H102">
        <v>2023</v>
      </c>
      <c r="I102" t="s">
        <v>1063</v>
      </c>
      <c r="J102" t="s">
        <v>1086</v>
      </c>
      <c r="K102">
        <v>4</v>
      </c>
      <c r="L102" t="s">
        <v>1052</v>
      </c>
      <c r="M102">
        <v>5</v>
      </c>
    </row>
    <row r="103" spans="1:13" x14ac:dyDescent="0.3">
      <c r="A103" t="s">
        <v>530</v>
      </c>
      <c r="B103" t="s">
        <v>18</v>
      </c>
      <c r="C103">
        <v>43</v>
      </c>
      <c r="D103" t="s">
        <v>11</v>
      </c>
      <c r="E103" s="25">
        <v>45072</v>
      </c>
      <c r="F103">
        <v>37</v>
      </c>
      <c r="G103">
        <v>4.9000000000000004</v>
      </c>
      <c r="H103">
        <v>2023</v>
      </c>
      <c r="I103" t="s">
        <v>1063</v>
      </c>
      <c r="J103" t="s">
        <v>1085</v>
      </c>
      <c r="K103">
        <v>5</v>
      </c>
      <c r="L103" t="s">
        <v>1052</v>
      </c>
      <c r="M103">
        <v>5</v>
      </c>
    </row>
    <row r="104" spans="1:13" x14ac:dyDescent="0.3">
      <c r="A104" t="s">
        <v>533</v>
      </c>
      <c r="B104" t="s">
        <v>20</v>
      </c>
      <c r="C104">
        <v>55</v>
      </c>
      <c r="D104" t="s">
        <v>11</v>
      </c>
      <c r="E104" s="25">
        <v>45074</v>
      </c>
      <c r="F104">
        <v>145</v>
      </c>
      <c r="G104">
        <v>4.5</v>
      </c>
      <c r="H104">
        <v>2023</v>
      </c>
      <c r="I104" t="s">
        <v>1066</v>
      </c>
      <c r="J104" t="s">
        <v>1085</v>
      </c>
      <c r="K104">
        <v>5</v>
      </c>
      <c r="L104" t="s">
        <v>1052</v>
      </c>
      <c r="M104">
        <v>5</v>
      </c>
    </row>
    <row r="105" spans="1:13" x14ac:dyDescent="0.3">
      <c r="A105" t="s">
        <v>538</v>
      </c>
      <c r="B105" t="s">
        <v>22</v>
      </c>
      <c r="C105">
        <v>62</v>
      </c>
      <c r="D105" t="s">
        <v>11</v>
      </c>
      <c r="E105" s="25">
        <v>45076</v>
      </c>
      <c r="F105">
        <v>125</v>
      </c>
      <c r="G105">
        <v>3.5</v>
      </c>
      <c r="H105">
        <v>2023</v>
      </c>
      <c r="I105" t="s">
        <v>1068</v>
      </c>
      <c r="J105" t="s">
        <v>1086</v>
      </c>
      <c r="K105">
        <v>4</v>
      </c>
      <c r="L105" t="s">
        <v>1052</v>
      </c>
      <c r="M105">
        <v>5</v>
      </c>
    </row>
    <row r="106" spans="1:13" x14ac:dyDescent="0.3">
      <c r="A106" t="s">
        <v>548</v>
      </c>
      <c r="B106" t="s">
        <v>16</v>
      </c>
      <c r="C106">
        <v>141</v>
      </c>
      <c r="D106" t="s">
        <v>11</v>
      </c>
      <c r="E106" s="25">
        <v>45080</v>
      </c>
      <c r="F106">
        <v>54</v>
      </c>
      <c r="G106">
        <v>4.8</v>
      </c>
      <c r="H106">
        <v>2023</v>
      </c>
      <c r="I106" t="s">
        <v>1065</v>
      </c>
      <c r="J106" t="s">
        <v>1084</v>
      </c>
      <c r="K106">
        <v>5</v>
      </c>
      <c r="L106" t="s">
        <v>1053</v>
      </c>
      <c r="M106">
        <v>6</v>
      </c>
    </row>
    <row r="107" spans="1:13" x14ac:dyDescent="0.3">
      <c r="A107" t="s">
        <v>552</v>
      </c>
      <c r="B107" t="s">
        <v>16</v>
      </c>
      <c r="C107">
        <v>48</v>
      </c>
      <c r="D107" t="s">
        <v>11</v>
      </c>
      <c r="E107" s="25">
        <v>45082</v>
      </c>
      <c r="F107">
        <v>120</v>
      </c>
      <c r="G107">
        <v>4.0999999999999996</v>
      </c>
      <c r="H107">
        <v>2023</v>
      </c>
      <c r="I107" t="s">
        <v>1064</v>
      </c>
      <c r="J107" t="s">
        <v>1085</v>
      </c>
      <c r="K107">
        <v>4</v>
      </c>
      <c r="L107" t="s">
        <v>1053</v>
      </c>
      <c r="M107">
        <v>6</v>
      </c>
    </row>
    <row r="108" spans="1:13" x14ac:dyDescent="0.3">
      <c r="A108" t="s">
        <v>553</v>
      </c>
      <c r="B108" t="s">
        <v>22</v>
      </c>
      <c r="C108">
        <v>48</v>
      </c>
      <c r="D108" t="s">
        <v>11</v>
      </c>
      <c r="E108" s="25">
        <v>45082</v>
      </c>
      <c r="F108">
        <v>120</v>
      </c>
      <c r="G108">
        <v>4.0999999999999996</v>
      </c>
      <c r="H108">
        <v>2023</v>
      </c>
      <c r="I108" t="s">
        <v>1064</v>
      </c>
      <c r="J108" t="s">
        <v>1085</v>
      </c>
      <c r="K108">
        <v>4</v>
      </c>
      <c r="L108" t="s">
        <v>1053</v>
      </c>
      <c r="M108">
        <v>6</v>
      </c>
    </row>
    <row r="109" spans="1:13" x14ac:dyDescent="0.3">
      <c r="A109" t="s">
        <v>557</v>
      </c>
      <c r="B109" t="s">
        <v>12</v>
      </c>
      <c r="C109">
        <v>101</v>
      </c>
      <c r="D109" t="s">
        <v>11</v>
      </c>
      <c r="E109" s="25">
        <v>45085</v>
      </c>
      <c r="F109">
        <v>132</v>
      </c>
      <c r="G109">
        <v>4.3</v>
      </c>
      <c r="H109">
        <v>2023</v>
      </c>
      <c r="I109" t="s">
        <v>1067</v>
      </c>
      <c r="J109" t="s">
        <v>1086</v>
      </c>
      <c r="K109">
        <v>4</v>
      </c>
      <c r="L109" t="s">
        <v>1053</v>
      </c>
      <c r="M109">
        <v>6</v>
      </c>
    </row>
    <row r="110" spans="1:13" x14ac:dyDescent="0.3">
      <c r="A110" t="s">
        <v>562</v>
      </c>
      <c r="B110" t="s">
        <v>15</v>
      </c>
      <c r="C110">
        <v>99</v>
      </c>
      <c r="D110" t="s">
        <v>11</v>
      </c>
      <c r="E110" s="25">
        <v>45087</v>
      </c>
      <c r="F110">
        <v>180</v>
      </c>
      <c r="G110">
        <v>3.8</v>
      </c>
      <c r="H110">
        <v>2023</v>
      </c>
      <c r="I110" t="s">
        <v>1065</v>
      </c>
      <c r="J110" t="s">
        <v>1086</v>
      </c>
      <c r="K110">
        <v>4</v>
      </c>
      <c r="L110" t="s">
        <v>1053</v>
      </c>
      <c r="M110">
        <v>6</v>
      </c>
    </row>
    <row r="111" spans="1:13" x14ac:dyDescent="0.3">
      <c r="A111" t="s">
        <v>565</v>
      </c>
      <c r="B111" t="s">
        <v>20</v>
      </c>
      <c r="C111">
        <v>141</v>
      </c>
      <c r="D111" t="s">
        <v>11</v>
      </c>
      <c r="E111" s="25">
        <v>45088</v>
      </c>
      <c r="F111">
        <v>100</v>
      </c>
      <c r="G111">
        <v>4.5999999999999996</v>
      </c>
      <c r="H111">
        <v>2023</v>
      </c>
      <c r="I111" t="s">
        <v>1066</v>
      </c>
      <c r="J111" t="s">
        <v>1084</v>
      </c>
      <c r="K111">
        <v>5</v>
      </c>
      <c r="L111" t="s">
        <v>1053</v>
      </c>
      <c r="M111">
        <v>6</v>
      </c>
    </row>
    <row r="112" spans="1:13" x14ac:dyDescent="0.3">
      <c r="A112" t="s">
        <v>569</v>
      </c>
      <c r="B112" t="s">
        <v>19</v>
      </c>
      <c r="C112">
        <v>158</v>
      </c>
      <c r="D112" t="s">
        <v>11</v>
      </c>
      <c r="E112" s="25">
        <v>45091</v>
      </c>
      <c r="F112">
        <v>190</v>
      </c>
      <c r="G112">
        <v>4</v>
      </c>
      <c r="H112">
        <v>2023</v>
      </c>
      <c r="I112" t="s">
        <v>1069</v>
      </c>
      <c r="J112" t="s">
        <v>1084</v>
      </c>
      <c r="K112">
        <v>4</v>
      </c>
      <c r="L112" t="s">
        <v>1053</v>
      </c>
      <c r="M112">
        <v>6</v>
      </c>
    </row>
    <row r="113" spans="1:13" x14ac:dyDescent="0.3">
      <c r="A113" t="s">
        <v>574</v>
      </c>
      <c r="B113" t="s">
        <v>23</v>
      </c>
      <c r="C113">
        <v>108</v>
      </c>
      <c r="D113" t="s">
        <v>11</v>
      </c>
      <c r="E113" s="25">
        <v>45092</v>
      </c>
      <c r="F113">
        <v>56</v>
      </c>
      <c r="G113">
        <v>3.5</v>
      </c>
      <c r="H113">
        <v>2023</v>
      </c>
      <c r="I113" t="s">
        <v>1067</v>
      </c>
      <c r="J113" t="s">
        <v>1086</v>
      </c>
      <c r="K113">
        <v>4</v>
      </c>
      <c r="L113" t="s">
        <v>1053</v>
      </c>
      <c r="M113">
        <v>6</v>
      </c>
    </row>
    <row r="114" spans="1:13" x14ac:dyDescent="0.3">
      <c r="A114" t="s">
        <v>576</v>
      </c>
      <c r="B114" t="s">
        <v>16</v>
      </c>
      <c r="C114">
        <v>127</v>
      </c>
      <c r="D114" t="s">
        <v>11</v>
      </c>
      <c r="E114" s="25">
        <v>45093</v>
      </c>
      <c r="F114">
        <v>200</v>
      </c>
      <c r="G114">
        <v>4.8</v>
      </c>
      <c r="H114">
        <v>2023</v>
      </c>
      <c r="I114" t="s">
        <v>1063</v>
      </c>
      <c r="J114" t="s">
        <v>1084</v>
      </c>
      <c r="K114">
        <v>5</v>
      </c>
      <c r="L114" t="s">
        <v>1053</v>
      </c>
      <c r="M114">
        <v>6</v>
      </c>
    </row>
    <row r="115" spans="1:13" x14ac:dyDescent="0.3">
      <c r="A115" t="s">
        <v>582</v>
      </c>
      <c r="B115" t="s">
        <v>24</v>
      </c>
      <c r="C115">
        <v>117</v>
      </c>
      <c r="D115" t="s">
        <v>11</v>
      </c>
      <c r="E115" s="25">
        <v>45097</v>
      </c>
      <c r="F115">
        <v>82</v>
      </c>
      <c r="G115">
        <v>3.5</v>
      </c>
      <c r="H115">
        <v>2023</v>
      </c>
      <c r="I115" t="s">
        <v>1068</v>
      </c>
      <c r="J115" t="s">
        <v>1086</v>
      </c>
      <c r="K115">
        <v>4</v>
      </c>
      <c r="L115" t="s">
        <v>1053</v>
      </c>
      <c r="M115">
        <v>6</v>
      </c>
    </row>
    <row r="116" spans="1:13" x14ac:dyDescent="0.3">
      <c r="A116" t="s">
        <v>587</v>
      </c>
      <c r="B116" t="s">
        <v>17</v>
      </c>
      <c r="C116">
        <v>44</v>
      </c>
      <c r="D116" t="s">
        <v>11</v>
      </c>
      <c r="E116" s="25">
        <v>45098</v>
      </c>
      <c r="F116">
        <v>33</v>
      </c>
      <c r="G116">
        <v>3</v>
      </c>
      <c r="H116">
        <v>2023</v>
      </c>
      <c r="I116" t="s">
        <v>1069</v>
      </c>
      <c r="J116" t="s">
        <v>1085</v>
      </c>
      <c r="K116">
        <v>3</v>
      </c>
      <c r="L116" t="s">
        <v>1053</v>
      </c>
      <c r="M116">
        <v>6</v>
      </c>
    </row>
    <row r="117" spans="1:13" x14ac:dyDescent="0.3">
      <c r="A117" t="s">
        <v>590</v>
      </c>
      <c r="B117" t="s">
        <v>15</v>
      </c>
      <c r="C117">
        <v>52</v>
      </c>
      <c r="D117" t="s">
        <v>11</v>
      </c>
      <c r="E117" s="25">
        <v>45100</v>
      </c>
      <c r="F117">
        <v>70</v>
      </c>
      <c r="G117">
        <v>4.0999999999999996</v>
      </c>
      <c r="H117">
        <v>2023</v>
      </c>
      <c r="I117" t="s">
        <v>1063</v>
      </c>
      <c r="J117" t="s">
        <v>1085</v>
      </c>
      <c r="K117">
        <v>4</v>
      </c>
      <c r="L117" t="s">
        <v>1053</v>
      </c>
      <c r="M117">
        <v>6</v>
      </c>
    </row>
    <row r="118" spans="1:13" x14ac:dyDescent="0.3">
      <c r="A118" t="s">
        <v>596</v>
      </c>
      <c r="B118" t="s">
        <v>14</v>
      </c>
      <c r="C118">
        <v>35</v>
      </c>
      <c r="D118" t="s">
        <v>11</v>
      </c>
      <c r="E118" s="25">
        <v>45102</v>
      </c>
      <c r="F118">
        <v>86</v>
      </c>
      <c r="G118">
        <v>4.5999999999999996</v>
      </c>
      <c r="H118">
        <v>2023</v>
      </c>
      <c r="I118" t="s">
        <v>1066</v>
      </c>
      <c r="J118" t="s">
        <v>1085</v>
      </c>
      <c r="K118">
        <v>5</v>
      </c>
      <c r="L118" t="s">
        <v>1053</v>
      </c>
      <c r="M118">
        <v>6</v>
      </c>
    </row>
    <row r="119" spans="1:13" x14ac:dyDescent="0.3">
      <c r="A119" t="s">
        <v>598</v>
      </c>
      <c r="B119" t="s">
        <v>24</v>
      </c>
      <c r="C119">
        <v>133</v>
      </c>
      <c r="D119" t="s">
        <v>11</v>
      </c>
      <c r="E119" s="25">
        <v>45103</v>
      </c>
      <c r="F119">
        <v>21</v>
      </c>
      <c r="G119">
        <v>3.7</v>
      </c>
      <c r="H119">
        <v>2023</v>
      </c>
      <c r="I119" t="s">
        <v>1064</v>
      </c>
      <c r="J119" t="s">
        <v>1084</v>
      </c>
      <c r="K119">
        <v>4</v>
      </c>
      <c r="L119" t="s">
        <v>1053</v>
      </c>
      <c r="M119">
        <v>6</v>
      </c>
    </row>
    <row r="120" spans="1:13" x14ac:dyDescent="0.3">
      <c r="A120" t="s">
        <v>602</v>
      </c>
      <c r="B120" t="s">
        <v>8</v>
      </c>
      <c r="C120">
        <v>25</v>
      </c>
      <c r="D120" t="s">
        <v>11</v>
      </c>
      <c r="E120" s="25">
        <v>45103</v>
      </c>
      <c r="F120">
        <v>84</v>
      </c>
      <c r="G120">
        <v>4.5</v>
      </c>
      <c r="H120">
        <v>2023</v>
      </c>
      <c r="I120" t="s">
        <v>1064</v>
      </c>
      <c r="J120" t="s">
        <v>1087</v>
      </c>
      <c r="K120">
        <v>5</v>
      </c>
      <c r="L120" t="s">
        <v>1053</v>
      </c>
      <c r="M120">
        <v>6</v>
      </c>
    </row>
    <row r="121" spans="1:13" x14ac:dyDescent="0.3">
      <c r="A121" t="s">
        <v>616</v>
      </c>
      <c r="B121" t="s">
        <v>17</v>
      </c>
      <c r="C121">
        <v>153</v>
      </c>
      <c r="D121" t="s">
        <v>11</v>
      </c>
      <c r="E121" s="25">
        <v>45108</v>
      </c>
      <c r="F121">
        <v>102</v>
      </c>
      <c r="G121">
        <v>3.1</v>
      </c>
      <c r="H121">
        <v>2024</v>
      </c>
      <c r="I121" t="s">
        <v>1065</v>
      </c>
      <c r="J121" t="s">
        <v>1084</v>
      </c>
      <c r="K121">
        <v>3</v>
      </c>
      <c r="L121" t="s">
        <v>1054</v>
      </c>
      <c r="M121">
        <v>7</v>
      </c>
    </row>
    <row r="122" spans="1:13" x14ac:dyDescent="0.3">
      <c r="A122" t="s">
        <v>625</v>
      </c>
      <c r="B122" t="s">
        <v>7</v>
      </c>
      <c r="C122">
        <v>52</v>
      </c>
      <c r="D122" t="s">
        <v>11</v>
      </c>
      <c r="E122" s="25">
        <v>45113</v>
      </c>
      <c r="F122">
        <v>42</v>
      </c>
      <c r="G122">
        <v>4.5</v>
      </c>
      <c r="H122">
        <v>2024</v>
      </c>
      <c r="I122" t="s">
        <v>1067</v>
      </c>
      <c r="J122" t="s">
        <v>1085</v>
      </c>
      <c r="K122">
        <v>5</v>
      </c>
      <c r="L122" t="s">
        <v>1054</v>
      </c>
      <c r="M122">
        <v>7</v>
      </c>
    </row>
    <row r="123" spans="1:13" x14ac:dyDescent="0.3">
      <c r="A123" t="s">
        <v>628</v>
      </c>
      <c r="B123" t="s">
        <v>24</v>
      </c>
      <c r="C123">
        <v>88</v>
      </c>
      <c r="D123" t="s">
        <v>11</v>
      </c>
      <c r="E123" s="25">
        <v>45115</v>
      </c>
      <c r="F123">
        <v>110</v>
      </c>
      <c r="G123">
        <v>4.8</v>
      </c>
      <c r="H123">
        <v>2024</v>
      </c>
      <c r="I123" t="s">
        <v>1065</v>
      </c>
      <c r="J123" t="s">
        <v>1086</v>
      </c>
      <c r="K123">
        <v>5</v>
      </c>
      <c r="L123" t="s">
        <v>1054</v>
      </c>
      <c r="M123">
        <v>7</v>
      </c>
    </row>
    <row r="124" spans="1:13" x14ac:dyDescent="0.3">
      <c r="A124" t="s">
        <v>629</v>
      </c>
      <c r="B124" t="s">
        <v>15</v>
      </c>
      <c r="C124">
        <v>49</v>
      </c>
      <c r="D124" t="s">
        <v>11</v>
      </c>
      <c r="E124" s="25">
        <v>45115</v>
      </c>
      <c r="F124">
        <v>39</v>
      </c>
      <c r="G124">
        <v>4.5999999999999996</v>
      </c>
      <c r="H124">
        <v>2024</v>
      </c>
      <c r="I124" t="s">
        <v>1065</v>
      </c>
      <c r="J124" t="s">
        <v>1085</v>
      </c>
      <c r="K124">
        <v>5</v>
      </c>
      <c r="L124" t="s">
        <v>1054</v>
      </c>
      <c r="M124">
        <v>7</v>
      </c>
    </row>
    <row r="125" spans="1:13" x14ac:dyDescent="0.3">
      <c r="A125" t="s">
        <v>636</v>
      </c>
      <c r="B125" t="s">
        <v>8</v>
      </c>
      <c r="C125">
        <v>154</v>
      </c>
      <c r="D125" t="s">
        <v>11</v>
      </c>
      <c r="E125" s="25">
        <v>45117</v>
      </c>
      <c r="F125">
        <v>164</v>
      </c>
      <c r="G125">
        <v>4.9000000000000004</v>
      </c>
      <c r="H125">
        <v>2024</v>
      </c>
      <c r="I125" t="s">
        <v>1064</v>
      </c>
      <c r="J125" t="s">
        <v>1084</v>
      </c>
      <c r="K125">
        <v>5</v>
      </c>
      <c r="L125" t="s">
        <v>1054</v>
      </c>
      <c r="M125">
        <v>7</v>
      </c>
    </row>
    <row r="126" spans="1:13" x14ac:dyDescent="0.3">
      <c r="A126" t="s">
        <v>642</v>
      </c>
      <c r="B126" t="s">
        <v>5</v>
      </c>
      <c r="C126">
        <v>33</v>
      </c>
      <c r="D126" t="s">
        <v>11</v>
      </c>
      <c r="E126" s="25">
        <v>45120</v>
      </c>
      <c r="F126">
        <v>27</v>
      </c>
      <c r="G126">
        <v>3.7</v>
      </c>
      <c r="H126">
        <v>2024</v>
      </c>
      <c r="I126" t="s">
        <v>1067</v>
      </c>
      <c r="J126" t="s">
        <v>1085</v>
      </c>
      <c r="K126">
        <v>4</v>
      </c>
      <c r="L126" t="s">
        <v>1054</v>
      </c>
      <c r="M126">
        <v>7</v>
      </c>
    </row>
    <row r="127" spans="1:13" x14ac:dyDescent="0.3">
      <c r="A127" t="s">
        <v>644</v>
      </c>
      <c r="B127" t="s">
        <v>14</v>
      </c>
      <c r="C127">
        <v>168</v>
      </c>
      <c r="D127" t="s">
        <v>11</v>
      </c>
      <c r="E127" s="25">
        <v>45121</v>
      </c>
      <c r="F127">
        <v>72</v>
      </c>
      <c r="G127">
        <v>3.5</v>
      </c>
      <c r="H127">
        <v>2024</v>
      </c>
      <c r="I127" t="s">
        <v>1063</v>
      </c>
      <c r="J127" t="s">
        <v>1084</v>
      </c>
      <c r="K127">
        <v>4</v>
      </c>
      <c r="L127" t="s">
        <v>1054</v>
      </c>
      <c r="M127">
        <v>7</v>
      </c>
    </row>
    <row r="128" spans="1:13" x14ac:dyDescent="0.3">
      <c r="A128" t="s">
        <v>646</v>
      </c>
      <c r="B128" t="s">
        <v>12</v>
      </c>
      <c r="C128">
        <v>80</v>
      </c>
      <c r="D128" t="s">
        <v>11</v>
      </c>
      <c r="E128" s="25">
        <v>45123</v>
      </c>
      <c r="F128">
        <v>88</v>
      </c>
      <c r="G128">
        <v>4.9000000000000004</v>
      </c>
      <c r="H128">
        <v>2024</v>
      </c>
      <c r="I128" t="s">
        <v>1066</v>
      </c>
      <c r="J128" t="s">
        <v>1086</v>
      </c>
      <c r="K128">
        <v>5</v>
      </c>
      <c r="L128" t="s">
        <v>1054</v>
      </c>
      <c r="M128">
        <v>7</v>
      </c>
    </row>
    <row r="129" spans="1:13" x14ac:dyDescent="0.3">
      <c r="A129" t="s">
        <v>647</v>
      </c>
      <c r="B129" t="s">
        <v>20</v>
      </c>
      <c r="C129">
        <v>37</v>
      </c>
      <c r="D129" t="s">
        <v>11</v>
      </c>
      <c r="E129" s="25">
        <v>45123</v>
      </c>
      <c r="F129">
        <v>124</v>
      </c>
      <c r="G129">
        <v>4.5999999999999996</v>
      </c>
      <c r="H129">
        <v>2024</v>
      </c>
      <c r="I129" t="s">
        <v>1066</v>
      </c>
      <c r="J129" t="s">
        <v>1085</v>
      </c>
      <c r="K129">
        <v>5</v>
      </c>
      <c r="L129" t="s">
        <v>1054</v>
      </c>
      <c r="M129">
        <v>7</v>
      </c>
    </row>
    <row r="130" spans="1:13" x14ac:dyDescent="0.3">
      <c r="A130" t="s">
        <v>648</v>
      </c>
      <c r="B130" t="s">
        <v>17</v>
      </c>
      <c r="C130">
        <v>137</v>
      </c>
      <c r="D130" t="s">
        <v>11</v>
      </c>
      <c r="E130" s="25">
        <v>45124</v>
      </c>
      <c r="F130">
        <v>84</v>
      </c>
      <c r="G130">
        <v>2.6</v>
      </c>
      <c r="H130">
        <v>2024</v>
      </c>
      <c r="I130" t="s">
        <v>1064</v>
      </c>
      <c r="J130" t="s">
        <v>1084</v>
      </c>
      <c r="K130">
        <v>3</v>
      </c>
      <c r="L130" t="s">
        <v>1054</v>
      </c>
      <c r="M130">
        <v>7</v>
      </c>
    </row>
    <row r="131" spans="1:13" x14ac:dyDescent="0.3">
      <c r="A131" t="s">
        <v>654</v>
      </c>
      <c r="B131" t="s">
        <v>22</v>
      </c>
      <c r="C131">
        <v>172</v>
      </c>
      <c r="D131" t="s">
        <v>11</v>
      </c>
      <c r="E131" s="25">
        <v>45127</v>
      </c>
      <c r="F131">
        <v>27</v>
      </c>
      <c r="G131">
        <v>4.2</v>
      </c>
      <c r="H131">
        <v>2024</v>
      </c>
      <c r="I131" t="s">
        <v>1067</v>
      </c>
      <c r="J131" t="s">
        <v>1084</v>
      </c>
      <c r="K131">
        <v>4</v>
      </c>
      <c r="L131" t="s">
        <v>1054</v>
      </c>
      <c r="M131">
        <v>7</v>
      </c>
    </row>
    <row r="132" spans="1:13" x14ac:dyDescent="0.3">
      <c r="A132" t="s">
        <v>658</v>
      </c>
      <c r="B132" t="s">
        <v>21</v>
      </c>
      <c r="C132">
        <v>60</v>
      </c>
      <c r="D132" t="s">
        <v>11</v>
      </c>
      <c r="E132" s="25">
        <v>45128</v>
      </c>
      <c r="F132">
        <v>60</v>
      </c>
      <c r="G132">
        <v>2.2999999999999998</v>
      </c>
      <c r="H132">
        <v>2024</v>
      </c>
      <c r="I132" t="s">
        <v>1063</v>
      </c>
      <c r="J132" t="s">
        <v>1085</v>
      </c>
      <c r="K132">
        <v>2</v>
      </c>
      <c r="L132" t="s">
        <v>1054</v>
      </c>
      <c r="M132">
        <v>7</v>
      </c>
    </row>
    <row r="133" spans="1:13" x14ac:dyDescent="0.3">
      <c r="A133" t="s">
        <v>659</v>
      </c>
      <c r="B133" t="s">
        <v>21</v>
      </c>
      <c r="C133">
        <v>144</v>
      </c>
      <c r="D133" t="s">
        <v>11</v>
      </c>
      <c r="E133" s="25">
        <v>45129</v>
      </c>
      <c r="F133">
        <v>102</v>
      </c>
      <c r="G133">
        <v>2.9</v>
      </c>
      <c r="H133">
        <v>2024</v>
      </c>
      <c r="I133" t="s">
        <v>1065</v>
      </c>
      <c r="J133" t="s">
        <v>1084</v>
      </c>
      <c r="K133">
        <v>3</v>
      </c>
      <c r="L133" t="s">
        <v>1054</v>
      </c>
      <c r="M133">
        <v>7</v>
      </c>
    </row>
    <row r="134" spans="1:13" x14ac:dyDescent="0.3">
      <c r="A134" t="s">
        <v>660</v>
      </c>
      <c r="B134" t="s">
        <v>8</v>
      </c>
      <c r="C134">
        <v>67</v>
      </c>
      <c r="D134" t="s">
        <v>11</v>
      </c>
      <c r="E134" s="25">
        <v>45129</v>
      </c>
      <c r="F134">
        <v>38</v>
      </c>
      <c r="G134">
        <v>4.2</v>
      </c>
      <c r="H134">
        <v>2024</v>
      </c>
      <c r="I134" t="s">
        <v>1065</v>
      </c>
      <c r="J134" t="s">
        <v>1086</v>
      </c>
      <c r="K134">
        <v>4</v>
      </c>
      <c r="L134" t="s">
        <v>1054</v>
      </c>
      <c r="M134">
        <v>7</v>
      </c>
    </row>
    <row r="135" spans="1:13" x14ac:dyDescent="0.3">
      <c r="A135" t="s">
        <v>673</v>
      </c>
      <c r="B135" t="s">
        <v>17</v>
      </c>
      <c r="C135">
        <v>33</v>
      </c>
      <c r="D135" t="s">
        <v>11</v>
      </c>
      <c r="E135" s="25">
        <v>45138</v>
      </c>
      <c r="F135">
        <v>92</v>
      </c>
      <c r="G135">
        <v>1.7</v>
      </c>
      <c r="H135">
        <v>2024</v>
      </c>
      <c r="I135" t="s">
        <v>1064</v>
      </c>
      <c r="J135" t="s">
        <v>1085</v>
      </c>
      <c r="K135">
        <v>2</v>
      </c>
      <c r="L135" t="s">
        <v>1054</v>
      </c>
      <c r="M135">
        <v>7</v>
      </c>
    </row>
    <row r="136" spans="1:13" x14ac:dyDescent="0.3">
      <c r="A136" t="s">
        <v>684</v>
      </c>
      <c r="B136" t="s">
        <v>15</v>
      </c>
      <c r="C136">
        <v>72</v>
      </c>
      <c r="D136" t="s">
        <v>11</v>
      </c>
      <c r="E136" s="25">
        <v>45144</v>
      </c>
      <c r="F136">
        <v>70</v>
      </c>
      <c r="G136">
        <v>3.6</v>
      </c>
      <c r="H136">
        <v>2024</v>
      </c>
      <c r="I136" t="s">
        <v>1066</v>
      </c>
      <c r="J136" t="s">
        <v>1086</v>
      </c>
      <c r="K136">
        <v>4</v>
      </c>
      <c r="L136" t="s">
        <v>1055</v>
      </c>
      <c r="M136">
        <v>8</v>
      </c>
    </row>
    <row r="137" spans="1:13" x14ac:dyDescent="0.3">
      <c r="A137" t="s">
        <v>685</v>
      </c>
      <c r="B137" t="s">
        <v>16</v>
      </c>
      <c r="C137">
        <v>18</v>
      </c>
      <c r="D137" t="s">
        <v>11</v>
      </c>
      <c r="E137" s="25">
        <v>45144</v>
      </c>
      <c r="F137">
        <v>22</v>
      </c>
      <c r="G137">
        <v>3.5</v>
      </c>
      <c r="H137">
        <v>2024</v>
      </c>
      <c r="I137" t="s">
        <v>1066</v>
      </c>
      <c r="J137" t="s">
        <v>1087</v>
      </c>
      <c r="K137">
        <v>4</v>
      </c>
      <c r="L137" t="s">
        <v>1055</v>
      </c>
      <c r="M137">
        <v>8</v>
      </c>
    </row>
    <row r="138" spans="1:13" x14ac:dyDescent="0.3">
      <c r="A138" t="s">
        <v>700</v>
      </c>
      <c r="B138" t="s">
        <v>15</v>
      </c>
      <c r="C138">
        <v>61</v>
      </c>
      <c r="D138" t="s">
        <v>11</v>
      </c>
      <c r="E138" s="25">
        <v>45157</v>
      </c>
      <c r="F138">
        <v>93</v>
      </c>
      <c r="G138">
        <v>2.7</v>
      </c>
      <c r="H138">
        <v>2024</v>
      </c>
      <c r="I138" t="s">
        <v>1065</v>
      </c>
      <c r="J138" t="s">
        <v>1086</v>
      </c>
      <c r="K138">
        <v>3</v>
      </c>
      <c r="L138" t="s">
        <v>1055</v>
      </c>
      <c r="M138">
        <v>8</v>
      </c>
    </row>
    <row r="139" spans="1:13" x14ac:dyDescent="0.3">
      <c r="A139" t="s">
        <v>701</v>
      </c>
      <c r="B139" t="s">
        <v>8</v>
      </c>
      <c r="C139">
        <v>128</v>
      </c>
      <c r="D139" t="s">
        <v>11</v>
      </c>
      <c r="E139" s="25">
        <v>45157</v>
      </c>
      <c r="F139">
        <v>135</v>
      </c>
      <c r="G139">
        <v>2.1</v>
      </c>
      <c r="H139">
        <v>2024</v>
      </c>
      <c r="I139" t="s">
        <v>1065</v>
      </c>
      <c r="J139" t="s">
        <v>1084</v>
      </c>
      <c r="K139">
        <v>2</v>
      </c>
      <c r="L139" t="s">
        <v>1055</v>
      </c>
      <c r="M139">
        <v>8</v>
      </c>
    </row>
    <row r="140" spans="1:13" x14ac:dyDescent="0.3">
      <c r="A140" t="s">
        <v>703</v>
      </c>
      <c r="B140" t="s">
        <v>5</v>
      </c>
      <c r="C140">
        <v>63</v>
      </c>
      <c r="D140" t="s">
        <v>11</v>
      </c>
      <c r="E140" s="25">
        <v>45158</v>
      </c>
      <c r="F140">
        <v>29</v>
      </c>
      <c r="G140">
        <v>4.7</v>
      </c>
      <c r="H140">
        <v>2024</v>
      </c>
      <c r="I140" t="s">
        <v>1066</v>
      </c>
      <c r="J140" t="s">
        <v>1086</v>
      </c>
      <c r="K140">
        <v>5</v>
      </c>
      <c r="L140" t="s">
        <v>1055</v>
      </c>
      <c r="M140">
        <v>8</v>
      </c>
    </row>
    <row r="141" spans="1:13" x14ac:dyDescent="0.3">
      <c r="A141" t="s">
        <v>710</v>
      </c>
      <c r="B141" t="s">
        <v>15</v>
      </c>
      <c r="C141">
        <v>146</v>
      </c>
      <c r="D141" t="s">
        <v>11</v>
      </c>
      <c r="E141" s="25">
        <v>45162</v>
      </c>
      <c r="F141">
        <v>160</v>
      </c>
      <c r="G141">
        <v>4.0999999999999996</v>
      </c>
      <c r="H141">
        <v>2024</v>
      </c>
      <c r="I141" t="s">
        <v>1067</v>
      </c>
      <c r="J141" t="s">
        <v>1084</v>
      </c>
      <c r="K141">
        <v>4</v>
      </c>
      <c r="L141" t="s">
        <v>1055</v>
      </c>
      <c r="M141">
        <v>8</v>
      </c>
    </row>
    <row r="142" spans="1:13" x14ac:dyDescent="0.3">
      <c r="A142" t="s">
        <v>716</v>
      </c>
      <c r="B142" t="s">
        <v>16</v>
      </c>
      <c r="C142">
        <v>131</v>
      </c>
      <c r="D142" t="s">
        <v>11</v>
      </c>
      <c r="E142" s="25">
        <v>45164</v>
      </c>
      <c r="F142">
        <v>92</v>
      </c>
      <c r="G142">
        <v>4.9000000000000004</v>
      </c>
      <c r="H142">
        <v>2024</v>
      </c>
      <c r="I142" t="s">
        <v>1065</v>
      </c>
      <c r="J142" t="s">
        <v>1084</v>
      </c>
      <c r="K142">
        <v>5</v>
      </c>
      <c r="L142" t="s">
        <v>1055</v>
      </c>
      <c r="M142">
        <v>8</v>
      </c>
    </row>
    <row r="143" spans="1:13" x14ac:dyDescent="0.3">
      <c r="A143" t="s">
        <v>732</v>
      </c>
      <c r="B143" t="s">
        <v>20</v>
      </c>
      <c r="C143">
        <v>61</v>
      </c>
      <c r="D143" t="s">
        <v>11</v>
      </c>
      <c r="E143" s="25">
        <v>45173</v>
      </c>
      <c r="F143">
        <v>132</v>
      </c>
      <c r="G143">
        <v>4.9000000000000004</v>
      </c>
      <c r="H143">
        <v>2024</v>
      </c>
      <c r="I143" t="s">
        <v>1064</v>
      </c>
      <c r="J143" t="s">
        <v>1086</v>
      </c>
      <c r="K143">
        <v>5</v>
      </c>
      <c r="L143" t="s">
        <v>1056</v>
      </c>
      <c r="M143">
        <v>9</v>
      </c>
    </row>
    <row r="144" spans="1:13" x14ac:dyDescent="0.3">
      <c r="A144" t="s">
        <v>740</v>
      </c>
      <c r="B144" t="s">
        <v>21</v>
      </c>
      <c r="C144">
        <v>53</v>
      </c>
      <c r="D144" t="s">
        <v>11</v>
      </c>
      <c r="E144" s="25">
        <v>45177</v>
      </c>
      <c r="F144">
        <v>130</v>
      </c>
      <c r="G144">
        <v>3.6</v>
      </c>
      <c r="H144">
        <v>2024</v>
      </c>
      <c r="I144" t="s">
        <v>1063</v>
      </c>
      <c r="J144" t="s">
        <v>1085</v>
      </c>
      <c r="K144">
        <v>4</v>
      </c>
      <c r="L144" t="s">
        <v>1056</v>
      </c>
      <c r="M144">
        <v>9</v>
      </c>
    </row>
    <row r="145" spans="1:13" x14ac:dyDescent="0.3">
      <c r="A145" t="s">
        <v>747</v>
      </c>
      <c r="B145" t="s">
        <v>20</v>
      </c>
      <c r="C145">
        <v>94</v>
      </c>
      <c r="D145" t="s">
        <v>11</v>
      </c>
      <c r="E145" s="25">
        <v>45178</v>
      </c>
      <c r="F145">
        <v>69</v>
      </c>
      <c r="G145">
        <v>3.9</v>
      </c>
      <c r="H145">
        <v>2024</v>
      </c>
      <c r="I145" t="s">
        <v>1065</v>
      </c>
      <c r="J145" t="s">
        <v>1086</v>
      </c>
      <c r="K145">
        <v>4</v>
      </c>
      <c r="L145" t="s">
        <v>1056</v>
      </c>
      <c r="M145">
        <v>9</v>
      </c>
    </row>
    <row r="146" spans="1:13" x14ac:dyDescent="0.3">
      <c r="A146" t="s">
        <v>757</v>
      </c>
      <c r="B146" t="s">
        <v>14</v>
      </c>
      <c r="C146">
        <v>50</v>
      </c>
      <c r="D146" t="s">
        <v>11</v>
      </c>
      <c r="E146" s="25">
        <v>45183</v>
      </c>
      <c r="F146">
        <v>124</v>
      </c>
      <c r="G146">
        <v>4</v>
      </c>
      <c r="H146">
        <v>2024</v>
      </c>
      <c r="I146" t="s">
        <v>1067</v>
      </c>
      <c r="J146" t="s">
        <v>1085</v>
      </c>
      <c r="K146">
        <v>4</v>
      </c>
      <c r="L146" t="s">
        <v>1056</v>
      </c>
      <c r="M146">
        <v>9</v>
      </c>
    </row>
    <row r="147" spans="1:13" x14ac:dyDescent="0.3">
      <c r="A147" t="s">
        <v>758</v>
      </c>
      <c r="B147" t="s">
        <v>15</v>
      </c>
      <c r="C147">
        <v>78</v>
      </c>
      <c r="D147" t="s">
        <v>11</v>
      </c>
      <c r="E147" s="25">
        <v>45183</v>
      </c>
      <c r="F147">
        <v>23</v>
      </c>
      <c r="G147">
        <v>4.2</v>
      </c>
      <c r="H147">
        <v>2024</v>
      </c>
      <c r="I147" t="s">
        <v>1067</v>
      </c>
      <c r="J147" t="s">
        <v>1086</v>
      </c>
      <c r="K147">
        <v>4</v>
      </c>
      <c r="L147" t="s">
        <v>1056</v>
      </c>
      <c r="M147">
        <v>9</v>
      </c>
    </row>
    <row r="148" spans="1:13" x14ac:dyDescent="0.3">
      <c r="A148" t="s">
        <v>768</v>
      </c>
      <c r="B148" t="s">
        <v>12</v>
      </c>
      <c r="C148">
        <v>129</v>
      </c>
      <c r="D148" t="s">
        <v>11</v>
      </c>
      <c r="E148" s="25">
        <v>45191</v>
      </c>
      <c r="F148">
        <v>93</v>
      </c>
      <c r="G148">
        <v>4.7</v>
      </c>
      <c r="H148">
        <v>2024</v>
      </c>
      <c r="I148" t="s">
        <v>1063</v>
      </c>
      <c r="J148" t="s">
        <v>1084</v>
      </c>
      <c r="K148">
        <v>5</v>
      </c>
      <c r="L148" t="s">
        <v>1056</v>
      </c>
      <c r="M148">
        <v>9</v>
      </c>
    </row>
    <row r="149" spans="1:13" x14ac:dyDescent="0.3">
      <c r="A149" t="s">
        <v>770</v>
      </c>
      <c r="B149" t="s">
        <v>23</v>
      </c>
      <c r="C149">
        <v>108</v>
      </c>
      <c r="D149" t="s">
        <v>11</v>
      </c>
      <c r="E149" s="25">
        <v>45192</v>
      </c>
      <c r="F149">
        <v>66</v>
      </c>
      <c r="G149">
        <v>3.9</v>
      </c>
      <c r="H149">
        <v>2024</v>
      </c>
      <c r="I149" t="s">
        <v>1065</v>
      </c>
      <c r="J149" t="s">
        <v>1086</v>
      </c>
      <c r="K149">
        <v>4</v>
      </c>
      <c r="L149" t="s">
        <v>1056</v>
      </c>
      <c r="M149">
        <v>9</v>
      </c>
    </row>
    <row r="150" spans="1:13" x14ac:dyDescent="0.3">
      <c r="A150" t="s">
        <v>772</v>
      </c>
      <c r="B150" t="s">
        <v>15</v>
      </c>
      <c r="C150">
        <v>45</v>
      </c>
      <c r="D150" t="s">
        <v>11</v>
      </c>
      <c r="E150" s="25">
        <v>45192</v>
      </c>
      <c r="F150">
        <v>92</v>
      </c>
      <c r="G150">
        <v>4.3</v>
      </c>
      <c r="H150">
        <v>2024</v>
      </c>
      <c r="I150" t="s">
        <v>1065</v>
      </c>
      <c r="J150" t="s">
        <v>1085</v>
      </c>
      <c r="K150">
        <v>4</v>
      </c>
      <c r="L150" t="s">
        <v>1056</v>
      </c>
      <c r="M150">
        <v>9</v>
      </c>
    </row>
    <row r="151" spans="1:13" x14ac:dyDescent="0.3">
      <c r="A151" t="s">
        <v>779</v>
      </c>
      <c r="B151" t="s">
        <v>8</v>
      </c>
      <c r="C151">
        <v>67</v>
      </c>
      <c r="D151" t="s">
        <v>11</v>
      </c>
      <c r="E151" s="25">
        <v>45194</v>
      </c>
      <c r="F151">
        <v>87</v>
      </c>
      <c r="G151">
        <v>3.9</v>
      </c>
      <c r="H151">
        <v>2024</v>
      </c>
      <c r="I151" t="s">
        <v>1064</v>
      </c>
      <c r="J151" t="s">
        <v>1086</v>
      </c>
      <c r="K151">
        <v>4</v>
      </c>
      <c r="L151" t="s">
        <v>1056</v>
      </c>
      <c r="M151">
        <v>9</v>
      </c>
    </row>
    <row r="152" spans="1:13" x14ac:dyDescent="0.3">
      <c r="A152" t="s">
        <v>791</v>
      </c>
      <c r="B152" t="s">
        <v>5</v>
      </c>
      <c r="C152">
        <v>124</v>
      </c>
      <c r="D152" t="s">
        <v>11</v>
      </c>
      <c r="E152" s="25">
        <v>45198</v>
      </c>
      <c r="F152">
        <v>48</v>
      </c>
      <c r="G152">
        <v>3.7</v>
      </c>
      <c r="H152">
        <v>2024</v>
      </c>
      <c r="I152" t="s">
        <v>1063</v>
      </c>
      <c r="J152" t="s">
        <v>1084</v>
      </c>
      <c r="K152">
        <v>4</v>
      </c>
      <c r="L152" t="s">
        <v>1056</v>
      </c>
      <c r="M152">
        <v>9</v>
      </c>
    </row>
    <row r="153" spans="1:13" x14ac:dyDescent="0.3">
      <c r="A153" t="s">
        <v>799</v>
      </c>
      <c r="B153" t="s">
        <v>5</v>
      </c>
      <c r="C153">
        <v>61</v>
      </c>
      <c r="D153" t="s">
        <v>11</v>
      </c>
      <c r="E153" s="25">
        <v>45199</v>
      </c>
      <c r="F153">
        <v>117</v>
      </c>
      <c r="G153">
        <v>4.0999999999999996</v>
      </c>
      <c r="H153">
        <v>2024</v>
      </c>
      <c r="I153" t="s">
        <v>1065</v>
      </c>
      <c r="J153" t="s">
        <v>1086</v>
      </c>
      <c r="K153">
        <v>4</v>
      </c>
      <c r="L153" t="s">
        <v>1056</v>
      </c>
      <c r="M153">
        <v>9</v>
      </c>
    </row>
    <row r="154" spans="1:13" x14ac:dyDescent="0.3">
      <c r="A154" t="s">
        <v>806</v>
      </c>
      <c r="B154" t="s">
        <v>18</v>
      </c>
      <c r="C154">
        <v>149</v>
      </c>
      <c r="D154" t="s">
        <v>11</v>
      </c>
      <c r="E154" s="25">
        <v>45200</v>
      </c>
      <c r="F154">
        <v>130</v>
      </c>
      <c r="G154">
        <v>3.3</v>
      </c>
      <c r="H154">
        <v>2024</v>
      </c>
      <c r="I154" t="s">
        <v>1066</v>
      </c>
      <c r="J154" t="s">
        <v>1084</v>
      </c>
      <c r="K154">
        <v>3</v>
      </c>
      <c r="L154" t="s">
        <v>1057</v>
      </c>
      <c r="M154">
        <v>10</v>
      </c>
    </row>
    <row r="155" spans="1:13" x14ac:dyDescent="0.3">
      <c r="A155" t="s">
        <v>808</v>
      </c>
      <c r="B155" t="s">
        <v>8</v>
      </c>
      <c r="C155">
        <v>80</v>
      </c>
      <c r="D155" t="s">
        <v>11</v>
      </c>
      <c r="E155" s="25">
        <v>45200</v>
      </c>
      <c r="F155">
        <v>128</v>
      </c>
      <c r="G155">
        <v>3.7</v>
      </c>
      <c r="H155">
        <v>2024</v>
      </c>
      <c r="I155" t="s">
        <v>1066</v>
      </c>
      <c r="J155" t="s">
        <v>1086</v>
      </c>
      <c r="K155">
        <v>4</v>
      </c>
      <c r="L155" t="s">
        <v>1057</v>
      </c>
      <c r="M155">
        <v>10</v>
      </c>
    </row>
    <row r="156" spans="1:13" x14ac:dyDescent="0.3">
      <c r="A156" t="s">
        <v>813</v>
      </c>
      <c r="B156" t="s">
        <v>21</v>
      </c>
      <c r="C156">
        <v>93</v>
      </c>
      <c r="D156" t="s">
        <v>11</v>
      </c>
      <c r="E156" s="25">
        <v>45201</v>
      </c>
      <c r="F156">
        <v>45</v>
      </c>
      <c r="G156">
        <v>3.9</v>
      </c>
      <c r="H156">
        <v>2024</v>
      </c>
      <c r="I156" t="s">
        <v>1064</v>
      </c>
      <c r="J156" t="s">
        <v>1086</v>
      </c>
      <c r="K156">
        <v>4</v>
      </c>
      <c r="L156" t="s">
        <v>1057</v>
      </c>
      <c r="M156">
        <v>10</v>
      </c>
    </row>
    <row r="157" spans="1:13" x14ac:dyDescent="0.3">
      <c r="A157" t="s">
        <v>814</v>
      </c>
      <c r="B157" t="s">
        <v>17</v>
      </c>
      <c r="C157">
        <v>43</v>
      </c>
      <c r="D157" t="s">
        <v>11</v>
      </c>
      <c r="E157" s="25">
        <v>45201</v>
      </c>
      <c r="F157">
        <v>87</v>
      </c>
      <c r="G157">
        <v>3</v>
      </c>
      <c r="H157">
        <v>2024</v>
      </c>
      <c r="I157" t="s">
        <v>1064</v>
      </c>
      <c r="J157" t="s">
        <v>1085</v>
      </c>
      <c r="K157">
        <v>3</v>
      </c>
      <c r="L157" t="s">
        <v>1057</v>
      </c>
      <c r="M157">
        <v>10</v>
      </c>
    </row>
    <row r="158" spans="1:13" x14ac:dyDescent="0.3">
      <c r="A158" t="s">
        <v>823</v>
      </c>
      <c r="B158" t="s">
        <v>22</v>
      </c>
      <c r="C158">
        <v>118</v>
      </c>
      <c r="D158" t="s">
        <v>11</v>
      </c>
      <c r="E158" s="25">
        <v>45204</v>
      </c>
      <c r="F158">
        <v>56</v>
      </c>
      <c r="G158">
        <v>3.7</v>
      </c>
      <c r="H158">
        <v>2024</v>
      </c>
      <c r="I158" t="s">
        <v>1067</v>
      </c>
      <c r="J158" t="s">
        <v>1086</v>
      </c>
      <c r="K158">
        <v>4</v>
      </c>
      <c r="L158" t="s">
        <v>1057</v>
      </c>
      <c r="M158">
        <v>10</v>
      </c>
    </row>
    <row r="159" spans="1:13" x14ac:dyDescent="0.3">
      <c r="A159" t="s">
        <v>829</v>
      </c>
      <c r="B159" t="s">
        <v>12</v>
      </c>
      <c r="C159">
        <v>65</v>
      </c>
      <c r="D159" t="s">
        <v>11</v>
      </c>
      <c r="E159" s="25">
        <v>45205</v>
      </c>
      <c r="F159">
        <v>150</v>
      </c>
      <c r="G159">
        <v>5</v>
      </c>
      <c r="H159">
        <v>2024</v>
      </c>
      <c r="I159" t="s">
        <v>1063</v>
      </c>
      <c r="J159" t="s">
        <v>1086</v>
      </c>
      <c r="K159">
        <v>5</v>
      </c>
      <c r="L159" t="s">
        <v>1057</v>
      </c>
      <c r="M159">
        <v>10</v>
      </c>
    </row>
    <row r="160" spans="1:13" x14ac:dyDescent="0.3">
      <c r="A160" t="s">
        <v>834</v>
      </c>
      <c r="B160" t="s">
        <v>24</v>
      </c>
      <c r="C160">
        <v>18</v>
      </c>
      <c r="D160" t="s">
        <v>11</v>
      </c>
      <c r="E160" s="25">
        <v>45207</v>
      </c>
      <c r="F160">
        <v>96</v>
      </c>
      <c r="G160">
        <v>4.8</v>
      </c>
      <c r="H160">
        <v>2024</v>
      </c>
      <c r="I160" t="s">
        <v>1066</v>
      </c>
      <c r="J160" t="s">
        <v>1087</v>
      </c>
      <c r="K160">
        <v>5</v>
      </c>
      <c r="L160" t="s">
        <v>1057</v>
      </c>
      <c r="M160">
        <v>10</v>
      </c>
    </row>
    <row r="161" spans="1:13" x14ac:dyDescent="0.3">
      <c r="A161" t="s">
        <v>835</v>
      </c>
      <c r="B161" t="s">
        <v>23</v>
      </c>
      <c r="C161">
        <v>87</v>
      </c>
      <c r="D161" t="s">
        <v>11</v>
      </c>
      <c r="E161" s="25">
        <v>45207</v>
      </c>
      <c r="F161">
        <v>23</v>
      </c>
      <c r="G161">
        <v>4.2</v>
      </c>
      <c r="H161">
        <v>2024</v>
      </c>
      <c r="I161" t="s">
        <v>1066</v>
      </c>
      <c r="J161" t="s">
        <v>1086</v>
      </c>
      <c r="K161">
        <v>4</v>
      </c>
      <c r="L161" t="s">
        <v>1057</v>
      </c>
      <c r="M161">
        <v>10</v>
      </c>
    </row>
    <row r="162" spans="1:13" x14ac:dyDescent="0.3">
      <c r="A162" t="s">
        <v>846</v>
      </c>
      <c r="B162" t="s">
        <v>21</v>
      </c>
      <c r="C162">
        <v>150</v>
      </c>
      <c r="D162" t="s">
        <v>11</v>
      </c>
      <c r="E162" s="25">
        <v>45210</v>
      </c>
      <c r="F162">
        <v>108</v>
      </c>
      <c r="G162">
        <v>4.7</v>
      </c>
      <c r="H162">
        <v>2024</v>
      </c>
      <c r="I162" t="s">
        <v>1069</v>
      </c>
      <c r="J162" t="s">
        <v>1084</v>
      </c>
      <c r="K162">
        <v>5</v>
      </c>
      <c r="L162" t="s">
        <v>1057</v>
      </c>
      <c r="M162">
        <v>10</v>
      </c>
    </row>
    <row r="163" spans="1:13" x14ac:dyDescent="0.3">
      <c r="A163" t="s">
        <v>854</v>
      </c>
      <c r="B163" t="s">
        <v>12</v>
      </c>
      <c r="C163">
        <v>132</v>
      </c>
      <c r="D163" t="s">
        <v>11</v>
      </c>
      <c r="E163" s="25">
        <v>45213</v>
      </c>
      <c r="F163">
        <v>140</v>
      </c>
      <c r="G163">
        <v>4.3</v>
      </c>
      <c r="H163">
        <v>2024</v>
      </c>
      <c r="I163" t="s">
        <v>1065</v>
      </c>
      <c r="J163" t="s">
        <v>1084</v>
      </c>
      <c r="K163">
        <v>4</v>
      </c>
      <c r="L163" t="s">
        <v>1057</v>
      </c>
      <c r="M163">
        <v>10</v>
      </c>
    </row>
    <row r="164" spans="1:13" x14ac:dyDescent="0.3">
      <c r="A164" t="s">
        <v>855</v>
      </c>
      <c r="B164" t="s">
        <v>17</v>
      </c>
      <c r="C164">
        <v>67</v>
      </c>
      <c r="D164" t="s">
        <v>11</v>
      </c>
      <c r="E164" s="25">
        <v>45213</v>
      </c>
      <c r="F164">
        <v>105</v>
      </c>
      <c r="G164">
        <v>3.8</v>
      </c>
      <c r="H164">
        <v>2024</v>
      </c>
      <c r="I164" t="s">
        <v>1065</v>
      </c>
      <c r="J164" t="s">
        <v>1086</v>
      </c>
      <c r="K164">
        <v>4</v>
      </c>
      <c r="L164" t="s">
        <v>1057</v>
      </c>
      <c r="M164">
        <v>10</v>
      </c>
    </row>
    <row r="165" spans="1:13" x14ac:dyDescent="0.3">
      <c r="A165" t="s">
        <v>856</v>
      </c>
      <c r="B165" t="s">
        <v>15</v>
      </c>
      <c r="C165">
        <v>125</v>
      </c>
      <c r="D165" t="s">
        <v>11</v>
      </c>
      <c r="E165" s="25">
        <v>45213</v>
      </c>
      <c r="F165">
        <v>82</v>
      </c>
      <c r="G165">
        <v>4.5999999999999996</v>
      </c>
      <c r="H165">
        <v>2024</v>
      </c>
      <c r="I165" t="s">
        <v>1065</v>
      </c>
      <c r="J165" t="s">
        <v>1084</v>
      </c>
      <c r="K165">
        <v>5</v>
      </c>
      <c r="L165" t="s">
        <v>1057</v>
      </c>
      <c r="M165">
        <v>10</v>
      </c>
    </row>
    <row r="166" spans="1:13" x14ac:dyDescent="0.3">
      <c r="A166" t="s">
        <v>861</v>
      </c>
      <c r="B166" t="s">
        <v>8</v>
      </c>
      <c r="C166">
        <v>55</v>
      </c>
      <c r="D166" t="s">
        <v>11</v>
      </c>
      <c r="E166" s="25">
        <v>45214</v>
      </c>
      <c r="F166">
        <v>80</v>
      </c>
      <c r="G166">
        <v>4.3</v>
      </c>
      <c r="H166">
        <v>2024</v>
      </c>
      <c r="I166" t="s">
        <v>1066</v>
      </c>
      <c r="J166" t="s">
        <v>1085</v>
      </c>
      <c r="K166">
        <v>4</v>
      </c>
      <c r="L166" t="s">
        <v>1057</v>
      </c>
      <c r="M166">
        <v>10</v>
      </c>
    </row>
    <row r="167" spans="1:13" x14ac:dyDescent="0.3">
      <c r="A167" t="s">
        <v>872</v>
      </c>
      <c r="B167" t="s">
        <v>21</v>
      </c>
      <c r="C167">
        <v>173</v>
      </c>
      <c r="D167" t="s">
        <v>11</v>
      </c>
      <c r="E167" s="25">
        <v>45217</v>
      </c>
      <c r="F167">
        <v>160</v>
      </c>
      <c r="G167">
        <v>2.8</v>
      </c>
      <c r="H167">
        <v>2024</v>
      </c>
      <c r="I167" t="s">
        <v>1069</v>
      </c>
      <c r="J167" t="s">
        <v>1084</v>
      </c>
      <c r="K167">
        <v>3</v>
      </c>
      <c r="L167" t="s">
        <v>1057</v>
      </c>
      <c r="M167">
        <v>10</v>
      </c>
    </row>
    <row r="168" spans="1:13" x14ac:dyDescent="0.3">
      <c r="A168" t="s">
        <v>874</v>
      </c>
      <c r="B168" t="s">
        <v>12</v>
      </c>
      <c r="C168">
        <v>117</v>
      </c>
      <c r="D168" t="s">
        <v>11</v>
      </c>
      <c r="E168" s="25">
        <v>45217</v>
      </c>
      <c r="F168">
        <v>120</v>
      </c>
      <c r="G168">
        <v>3.4</v>
      </c>
      <c r="H168">
        <v>2024</v>
      </c>
      <c r="I168" t="s">
        <v>1069</v>
      </c>
      <c r="J168" t="s">
        <v>1086</v>
      </c>
      <c r="K168">
        <v>3</v>
      </c>
      <c r="L168" t="s">
        <v>1057</v>
      </c>
      <c r="M168">
        <v>10</v>
      </c>
    </row>
    <row r="169" spans="1:13" x14ac:dyDescent="0.3">
      <c r="A169" t="s">
        <v>877</v>
      </c>
      <c r="B169" t="s">
        <v>20</v>
      </c>
      <c r="C169">
        <v>50</v>
      </c>
      <c r="D169" t="s">
        <v>11</v>
      </c>
      <c r="E169" s="25">
        <v>45218</v>
      </c>
      <c r="F169">
        <v>64</v>
      </c>
      <c r="G169">
        <v>4.5</v>
      </c>
      <c r="H169">
        <v>2024</v>
      </c>
      <c r="I169" t="s">
        <v>1067</v>
      </c>
      <c r="J169" t="s">
        <v>1085</v>
      </c>
      <c r="K169">
        <v>5</v>
      </c>
      <c r="L169" t="s">
        <v>1057</v>
      </c>
      <c r="M169">
        <v>10</v>
      </c>
    </row>
    <row r="170" spans="1:13" x14ac:dyDescent="0.3">
      <c r="A170" t="s">
        <v>882</v>
      </c>
      <c r="B170" t="s">
        <v>24</v>
      </c>
      <c r="C170">
        <v>105</v>
      </c>
      <c r="D170" t="s">
        <v>11</v>
      </c>
      <c r="E170" s="25">
        <v>45219</v>
      </c>
      <c r="F170">
        <v>185</v>
      </c>
      <c r="G170">
        <v>3.5</v>
      </c>
      <c r="H170">
        <v>2024</v>
      </c>
      <c r="I170" t="s">
        <v>1063</v>
      </c>
      <c r="J170" t="s">
        <v>1086</v>
      </c>
      <c r="K170">
        <v>4</v>
      </c>
      <c r="L170" t="s">
        <v>1057</v>
      </c>
      <c r="M170">
        <v>10</v>
      </c>
    </row>
    <row r="171" spans="1:13" x14ac:dyDescent="0.3">
      <c r="A171" t="s">
        <v>884</v>
      </c>
      <c r="B171" t="s">
        <v>8</v>
      </c>
      <c r="C171">
        <v>72</v>
      </c>
      <c r="D171" t="s">
        <v>11</v>
      </c>
      <c r="E171" s="25">
        <v>45220</v>
      </c>
      <c r="F171">
        <v>20</v>
      </c>
      <c r="G171">
        <v>4.8</v>
      </c>
      <c r="H171">
        <v>2024</v>
      </c>
      <c r="I171" t="s">
        <v>1065</v>
      </c>
      <c r="J171" t="s">
        <v>1086</v>
      </c>
      <c r="K171">
        <v>5</v>
      </c>
      <c r="L171" t="s">
        <v>1057</v>
      </c>
      <c r="M171">
        <v>10</v>
      </c>
    </row>
    <row r="172" spans="1:13" x14ac:dyDescent="0.3">
      <c r="A172" t="s">
        <v>885</v>
      </c>
      <c r="B172" t="s">
        <v>16</v>
      </c>
      <c r="C172">
        <v>40</v>
      </c>
      <c r="D172" t="s">
        <v>11</v>
      </c>
      <c r="E172" s="25">
        <v>45220</v>
      </c>
      <c r="F172">
        <v>31</v>
      </c>
      <c r="G172">
        <v>4</v>
      </c>
      <c r="H172">
        <v>2024</v>
      </c>
      <c r="I172" t="s">
        <v>1065</v>
      </c>
      <c r="J172" t="s">
        <v>1085</v>
      </c>
      <c r="K172">
        <v>4</v>
      </c>
      <c r="L172" t="s">
        <v>1057</v>
      </c>
      <c r="M172">
        <v>10</v>
      </c>
    </row>
    <row r="173" spans="1:13" x14ac:dyDescent="0.3">
      <c r="A173" t="s">
        <v>898</v>
      </c>
      <c r="B173" t="s">
        <v>22</v>
      </c>
      <c r="C173">
        <v>109</v>
      </c>
      <c r="D173" t="s">
        <v>11</v>
      </c>
      <c r="E173" s="25">
        <v>45225</v>
      </c>
      <c r="F173">
        <v>180</v>
      </c>
      <c r="G173">
        <v>3.8</v>
      </c>
      <c r="H173">
        <v>2024</v>
      </c>
      <c r="I173" t="s">
        <v>1067</v>
      </c>
      <c r="J173" t="s">
        <v>1086</v>
      </c>
      <c r="K173">
        <v>4</v>
      </c>
      <c r="L173" t="s">
        <v>1057</v>
      </c>
      <c r="M173">
        <v>10</v>
      </c>
    </row>
    <row r="174" spans="1:13" x14ac:dyDescent="0.3">
      <c r="A174" t="s">
        <v>902</v>
      </c>
      <c r="B174" t="s">
        <v>21</v>
      </c>
      <c r="C174">
        <v>97</v>
      </c>
      <c r="D174" t="s">
        <v>11</v>
      </c>
      <c r="E174" s="25">
        <v>45226</v>
      </c>
      <c r="F174">
        <v>31</v>
      </c>
      <c r="G174">
        <v>2.2000000000000002</v>
      </c>
      <c r="H174">
        <v>2024</v>
      </c>
      <c r="I174" t="s">
        <v>1063</v>
      </c>
      <c r="J174" t="s">
        <v>1086</v>
      </c>
      <c r="K174">
        <v>2</v>
      </c>
      <c r="L174" t="s">
        <v>1057</v>
      </c>
      <c r="M174">
        <v>10</v>
      </c>
    </row>
    <row r="175" spans="1:13" x14ac:dyDescent="0.3">
      <c r="A175" t="s">
        <v>903</v>
      </c>
      <c r="B175" t="s">
        <v>24</v>
      </c>
      <c r="C175">
        <v>72</v>
      </c>
      <c r="D175" t="s">
        <v>11</v>
      </c>
      <c r="E175" s="25">
        <v>45226</v>
      </c>
      <c r="F175">
        <v>108</v>
      </c>
      <c r="G175">
        <v>4.8</v>
      </c>
      <c r="H175">
        <v>2024</v>
      </c>
      <c r="I175" t="s">
        <v>1063</v>
      </c>
      <c r="J175" t="s">
        <v>1086</v>
      </c>
      <c r="K175">
        <v>5</v>
      </c>
      <c r="L175" t="s">
        <v>1057</v>
      </c>
      <c r="M175">
        <v>10</v>
      </c>
    </row>
    <row r="176" spans="1:13" x14ac:dyDescent="0.3">
      <c r="A176" t="s">
        <v>905</v>
      </c>
      <c r="B176" t="s">
        <v>14</v>
      </c>
      <c r="C176">
        <v>64</v>
      </c>
      <c r="D176" t="s">
        <v>11</v>
      </c>
      <c r="E176" s="25">
        <v>45227</v>
      </c>
      <c r="F176">
        <v>185</v>
      </c>
      <c r="G176">
        <v>2.2000000000000002</v>
      </c>
      <c r="H176">
        <v>2024</v>
      </c>
      <c r="I176" t="s">
        <v>1065</v>
      </c>
      <c r="J176" t="s">
        <v>1086</v>
      </c>
      <c r="K176">
        <v>2</v>
      </c>
      <c r="L176" t="s">
        <v>1057</v>
      </c>
      <c r="M176">
        <v>10</v>
      </c>
    </row>
    <row r="177" spans="1:13" x14ac:dyDescent="0.3">
      <c r="A177" t="s">
        <v>906</v>
      </c>
      <c r="B177" t="s">
        <v>14</v>
      </c>
      <c r="C177">
        <v>69</v>
      </c>
      <c r="D177" t="s">
        <v>11</v>
      </c>
      <c r="E177" s="25">
        <v>45227</v>
      </c>
      <c r="F177">
        <v>40</v>
      </c>
      <c r="G177">
        <v>4.8</v>
      </c>
      <c r="H177">
        <v>2024</v>
      </c>
      <c r="I177" t="s">
        <v>1065</v>
      </c>
      <c r="J177" t="s">
        <v>1086</v>
      </c>
      <c r="K177">
        <v>5</v>
      </c>
      <c r="L177" t="s">
        <v>1057</v>
      </c>
      <c r="M177">
        <v>10</v>
      </c>
    </row>
    <row r="178" spans="1:13" x14ac:dyDescent="0.3">
      <c r="A178" t="s">
        <v>921</v>
      </c>
      <c r="B178" t="s">
        <v>17</v>
      </c>
      <c r="C178">
        <v>112</v>
      </c>
      <c r="D178" t="s">
        <v>11</v>
      </c>
      <c r="E178" s="25">
        <v>45234</v>
      </c>
      <c r="F178">
        <v>200</v>
      </c>
      <c r="G178">
        <v>4.5999999999999996</v>
      </c>
      <c r="H178">
        <v>2024</v>
      </c>
      <c r="I178" t="s">
        <v>1065</v>
      </c>
      <c r="J178" t="s">
        <v>1086</v>
      </c>
      <c r="K178">
        <v>5</v>
      </c>
      <c r="L178" t="s">
        <v>1058</v>
      </c>
      <c r="M178">
        <v>11</v>
      </c>
    </row>
    <row r="179" spans="1:13" x14ac:dyDescent="0.3">
      <c r="A179" t="s">
        <v>928</v>
      </c>
      <c r="B179" t="s">
        <v>19</v>
      </c>
      <c r="C179">
        <v>151</v>
      </c>
      <c r="D179" t="s">
        <v>11</v>
      </c>
      <c r="E179" s="25">
        <v>45238</v>
      </c>
      <c r="F179">
        <v>84</v>
      </c>
      <c r="G179">
        <v>4.5999999999999996</v>
      </c>
      <c r="H179">
        <v>2024</v>
      </c>
      <c r="I179" t="s">
        <v>1069</v>
      </c>
      <c r="J179" t="s">
        <v>1084</v>
      </c>
      <c r="K179">
        <v>5</v>
      </c>
      <c r="L179" t="s">
        <v>1058</v>
      </c>
      <c r="M179">
        <v>11</v>
      </c>
    </row>
    <row r="180" spans="1:13" x14ac:dyDescent="0.3">
      <c r="A180" t="s">
        <v>939</v>
      </c>
      <c r="B180" t="s">
        <v>22</v>
      </c>
      <c r="C180">
        <v>91</v>
      </c>
      <c r="D180" t="s">
        <v>11</v>
      </c>
      <c r="E180" s="25">
        <v>45243</v>
      </c>
      <c r="F180">
        <v>108</v>
      </c>
      <c r="G180">
        <v>3.8</v>
      </c>
      <c r="H180">
        <v>2024</v>
      </c>
      <c r="I180" t="s">
        <v>1064</v>
      </c>
      <c r="J180" t="s">
        <v>1086</v>
      </c>
      <c r="K180">
        <v>4</v>
      </c>
      <c r="L180" t="s">
        <v>1058</v>
      </c>
      <c r="M180">
        <v>11</v>
      </c>
    </row>
    <row r="181" spans="1:13" x14ac:dyDescent="0.3">
      <c r="A181" t="s">
        <v>953</v>
      </c>
      <c r="B181" t="s">
        <v>24</v>
      </c>
      <c r="C181">
        <v>31</v>
      </c>
      <c r="D181" t="s">
        <v>11</v>
      </c>
      <c r="E181" s="25">
        <v>45248</v>
      </c>
      <c r="F181">
        <v>88</v>
      </c>
      <c r="G181">
        <v>3.4</v>
      </c>
      <c r="H181">
        <v>2024</v>
      </c>
      <c r="I181" t="s">
        <v>1065</v>
      </c>
      <c r="J181" t="s">
        <v>1085</v>
      </c>
      <c r="K181">
        <v>3</v>
      </c>
      <c r="L181" t="s">
        <v>1058</v>
      </c>
      <c r="M181">
        <v>11</v>
      </c>
    </row>
    <row r="182" spans="1:13" x14ac:dyDescent="0.3">
      <c r="A182" t="s">
        <v>955</v>
      </c>
      <c r="B182" t="s">
        <v>23</v>
      </c>
      <c r="C182">
        <v>50</v>
      </c>
      <c r="D182" t="s">
        <v>11</v>
      </c>
      <c r="E182" s="25">
        <v>45249</v>
      </c>
      <c r="F182">
        <v>180</v>
      </c>
      <c r="G182">
        <v>1.8</v>
      </c>
      <c r="H182">
        <v>2024</v>
      </c>
      <c r="I182" t="s">
        <v>1066</v>
      </c>
      <c r="J182" t="s">
        <v>1085</v>
      </c>
      <c r="K182">
        <v>2</v>
      </c>
      <c r="L182" t="s">
        <v>1058</v>
      </c>
      <c r="M182">
        <v>11</v>
      </c>
    </row>
    <row r="183" spans="1:13" x14ac:dyDescent="0.3">
      <c r="A183" t="s">
        <v>960</v>
      </c>
      <c r="B183" t="s">
        <v>21</v>
      </c>
      <c r="C183">
        <v>78</v>
      </c>
      <c r="D183" t="s">
        <v>11</v>
      </c>
      <c r="E183" s="25">
        <v>45253</v>
      </c>
      <c r="F183">
        <v>140</v>
      </c>
      <c r="G183">
        <v>4</v>
      </c>
      <c r="H183">
        <v>2024</v>
      </c>
      <c r="I183" t="s">
        <v>1067</v>
      </c>
      <c r="J183" t="s">
        <v>1086</v>
      </c>
      <c r="K183">
        <v>4</v>
      </c>
      <c r="L183" t="s">
        <v>1058</v>
      </c>
      <c r="M183">
        <v>11</v>
      </c>
    </row>
    <row r="184" spans="1:13" x14ac:dyDescent="0.3">
      <c r="A184" t="s">
        <v>966</v>
      </c>
      <c r="B184" t="s">
        <v>19</v>
      </c>
      <c r="C184">
        <v>96</v>
      </c>
      <c r="D184" t="s">
        <v>11</v>
      </c>
      <c r="E184" s="25">
        <v>45256</v>
      </c>
      <c r="F184">
        <v>136</v>
      </c>
      <c r="G184">
        <v>5</v>
      </c>
      <c r="H184">
        <v>2024</v>
      </c>
      <c r="I184" t="s">
        <v>1066</v>
      </c>
      <c r="J184" t="s">
        <v>1086</v>
      </c>
      <c r="K184">
        <v>5</v>
      </c>
      <c r="L184" t="s">
        <v>1058</v>
      </c>
      <c r="M184">
        <v>11</v>
      </c>
    </row>
    <row r="185" spans="1:13" x14ac:dyDescent="0.3">
      <c r="A185" t="s">
        <v>970</v>
      </c>
      <c r="B185" t="s">
        <v>18</v>
      </c>
      <c r="C185">
        <v>34</v>
      </c>
      <c r="D185" t="s">
        <v>11</v>
      </c>
      <c r="E185" s="25">
        <v>45258</v>
      </c>
      <c r="F185">
        <v>25</v>
      </c>
      <c r="G185">
        <v>4.0999999999999996</v>
      </c>
      <c r="H185">
        <v>2024</v>
      </c>
      <c r="I185" t="s">
        <v>1068</v>
      </c>
      <c r="J185" t="s">
        <v>1085</v>
      </c>
      <c r="K185">
        <v>4</v>
      </c>
      <c r="L185" t="s">
        <v>1058</v>
      </c>
      <c r="M185">
        <v>11</v>
      </c>
    </row>
    <row r="186" spans="1:13" x14ac:dyDescent="0.3">
      <c r="A186" t="s">
        <v>972</v>
      </c>
      <c r="B186" t="s">
        <v>23</v>
      </c>
      <c r="C186">
        <v>140</v>
      </c>
      <c r="D186" t="s">
        <v>11</v>
      </c>
      <c r="E186" s="25">
        <v>45260</v>
      </c>
      <c r="F186">
        <v>90</v>
      </c>
      <c r="G186">
        <v>4.5999999999999996</v>
      </c>
      <c r="H186">
        <v>2024</v>
      </c>
      <c r="I186" t="s">
        <v>1067</v>
      </c>
      <c r="J186" t="s">
        <v>1084</v>
      </c>
      <c r="K186">
        <v>5</v>
      </c>
      <c r="L186" t="s">
        <v>1058</v>
      </c>
      <c r="M186">
        <v>11</v>
      </c>
    </row>
    <row r="187" spans="1:13" x14ac:dyDescent="0.3">
      <c r="A187" t="s">
        <v>988</v>
      </c>
      <c r="B187" t="s">
        <v>22</v>
      </c>
      <c r="C187">
        <v>63</v>
      </c>
      <c r="D187" t="s">
        <v>11</v>
      </c>
      <c r="E187" s="25">
        <v>45269</v>
      </c>
      <c r="F187">
        <v>82</v>
      </c>
      <c r="G187">
        <v>3.7</v>
      </c>
      <c r="H187">
        <v>2024</v>
      </c>
      <c r="I187" t="s">
        <v>1065</v>
      </c>
      <c r="J187" t="s">
        <v>1086</v>
      </c>
      <c r="K187">
        <v>4</v>
      </c>
      <c r="L187" t="s">
        <v>1059</v>
      </c>
      <c r="M187">
        <v>12</v>
      </c>
    </row>
    <row r="188" spans="1:13" x14ac:dyDescent="0.3">
      <c r="A188" t="s">
        <v>1010</v>
      </c>
      <c r="B188" t="s">
        <v>23</v>
      </c>
      <c r="C188">
        <v>126</v>
      </c>
      <c r="D188" t="s">
        <v>11</v>
      </c>
      <c r="E188" s="25">
        <v>45277</v>
      </c>
      <c r="F188">
        <v>80</v>
      </c>
      <c r="G188">
        <v>4.7</v>
      </c>
      <c r="H188">
        <v>2024</v>
      </c>
      <c r="I188" t="s">
        <v>1066</v>
      </c>
      <c r="J188" t="s">
        <v>1084</v>
      </c>
      <c r="K188">
        <v>5</v>
      </c>
      <c r="L188" t="s">
        <v>1059</v>
      </c>
      <c r="M188">
        <v>12</v>
      </c>
    </row>
    <row r="189" spans="1:13" x14ac:dyDescent="0.3">
      <c r="A189" t="s">
        <v>1013</v>
      </c>
      <c r="B189" t="s">
        <v>22</v>
      </c>
      <c r="C189">
        <v>120</v>
      </c>
      <c r="D189" t="s">
        <v>11</v>
      </c>
      <c r="E189" s="25">
        <v>45280</v>
      </c>
      <c r="F189">
        <v>190</v>
      </c>
      <c r="G189">
        <v>3.7</v>
      </c>
      <c r="H189">
        <v>2024</v>
      </c>
      <c r="I189" t="s">
        <v>1069</v>
      </c>
      <c r="J189" t="s">
        <v>1086</v>
      </c>
      <c r="K189">
        <v>4</v>
      </c>
      <c r="L189" t="s">
        <v>1059</v>
      </c>
      <c r="M189">
        <v>12</v>
      </c>
    </row>
    <row r="190" spans="1:13" x14ac:dyDescent="0.3">
      <c r="A190" t="s">
        <v>1020</v>
      </c>
      <c r="B190" t="s">
        <v>12</v>
      </c>
      <c r="C190">
        <v>58</v>
      </c>
      <c r="D190" t="s">
        <v>11</v>
      </c>
      <c r="E190" s="25">
        <v>45285</v>
      </c>
      <c r="F190">
        <v>25</v>
      </c>
      <c r="G190">
        <v>3.6</v>
      </c>
      <c r="H190">
        <v>2024</v>
      </c>
      <c r="I190" t="s">
        <v>1064</v>
      </c>
      <c r="J190" t="s">
        <v>1085</v>
      </c>
      <c r="K190">
        <v>4</v>
      </c>
      <c r="L190" t="s">
        <v>1059</v>
      </c>
      <c r="M190">
        <v>12</v>
      </c>
    </row>
    <row r="191" spans="1:13" x14ac:dyDescent="0.3">
      <c r="A191" t="s">
        <v>1028</v>
      </c>
      <c r="B191" t="s">
        <v>21</v>
      </c>
      <c r="C191">
        <v>76</v>
      </c>
      <c r="D191" t="s">
        <v>11</v>
      </c>
      <c r="E191" s="25">
        <v>45289</v>
      </c>
      <c r="F191">
        <v>80</v>
      </c>
      <c r="G191">
        <v>3.5</v>
      </c>
      <c r="H191">
        <v>2024</v>
      </c>
      <c r="I191" t="s">
        <v>1063</v>
      </c>
      <c r="J191" t="s">
        <v>1086</v>
      </c>
      <c r="K191">
        <v>4</v>
      </c>
      <c r="L191" t="s">
        <v>1059</v>
      </c>
      <c r="M191">
        <v>12</v>
      </c>
    </row>
    <row r="192" spans="1:13" x14ac:dyDescent="0.3">
      <c r="A192" t="s">
        <v>1035</v>
      </c>
      <c r="B192" t="s">
        <v>22</v>
      </c>
      <c r="C192">
        <v>114</v>
      </c>
      <c r="D192" t="s">
        <v>11</v>
      </c>
      <c r="E192" s="25">
        <v>45291</v>
      </c>
      <c r="F192">
        <v>40</v>
      </c>
      <c r="G192">
        <v>3.9</v>
      </c>
      <c r="H192">
        <v>2024</v>
      </c>
      <c r="I192" t="s">
        <v>1066</v>
      </c>
      <c r="J192" t="s">
        <v>1086</v>
      </c>
      <c r="K192">
        <v>4</v>
      </c>
      <c r="L192" t="s">
        <v>1059</v>
      </c>
      <c r="M192">
        <v>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3505B-5D89-495C-B603-76FD4F2528C3}">
  <dimension ref="A1:C18"/>
  <sheetViews>
    <sheetView workbookViewId="0"/>
  </sheetViews>
  <sheetFormatPr defaultRowHeight="14.4" x14ac:dyDescent="0.3"/>
  <sheetData>
    <row r="1" spans="1:3" x14ac:dyDescent="0.3">
      <c r="A1" s="28"/>
      <c r="B1" s="29"/>
      <c r="C1" s="30"/>
    </row>
    <row r="2" spans="1:3" x14ac:dyDescent="0.3">
      <c r="A2" s="31"/>
      <c r="B2" s="32"/>
      <c r="C2" s="33"/>
    </row>
    <row r="3" spans="1:3" x14ac:dyDescent="0.3">
      <c r="A3" s="31"/>
      <c r="B3" s="32"/>
      <c r="C3" s="33"/>
    </row>
    <row r="4" spans="1:3" x14ac:dyDescent="0.3">
      <c r="A4" s="31"/>
      <c r="B4" s="32"/>
      <c r="C4" s="33"/>
    </row>
    <row r="5" spans="1:3" x14ac:dyDescent="0.3">
      <c r="A5" s="31"/>
      <c r="B5" s="32"/>
      <c r="C5" s="33"/>
    </row>
    <row r="6" spans="1:3" x14ac:dyDescent="0.3">
      <c r="A6" s="31"/>
      <c r="B6" s="32"/>
      <c r="C6" s="33"/>
    </row>
    <row r="7" spans="1:3" x14ac:dyDescent="0.3">
      <c r="A7" s="31"/>
      <c r="B7" s="32"/>
      <c r="C7" s="33"/>
    </row>
    <row r="8" spans="1:3" x14ac:dyDescent="0.3">
      <c r="A8" s="31"/>
      <c r="B8" s="32"/>
      <c r="C8" s="33"/>
    </row>
    <row r="9" spans="1:3" x14ac:dyDescent="0.3">
      <c r="A9" s="31"/>
      <c r="B9" s="32"/>
      <c r="C9" s="33"/>
    </row>
    <row r="10" spans="1:3" x14ac:dyDescent="0.3">
      <c r="A10" s="31"/>
      <c r="B10" s="32"/>
      <c r="C10" s="33"/>
    </row>
    <row r="11" spans="1:3" x14ac:dyDescent="0.3">
      <c r="A11" s="31"/>
      <c r="B11" s="32"/>
      <c r="C11" s="33"/>
    </row>
    <row r="12" spans="1:3" x14ac:dyDescent="0.3">
      <c r="A12" s="31"/>
      <c r="B12" s="32"/>
      <c r="C12" s="33"/>
    </row>
    <row r="13" spans="1:3" x14ac:dyDescent="0.3">
      <c r="A13" s="31"/>
      <c r="B13" s="32"/>
      <c r="C13" s="33"/>
    </row>
    <row r="14" spans="1:3" x14ac:dyDescent="0.3">
      <c r="A14" s="31"/>
      <c r="B14" s="32"/>
      <c r="C14" s="33"/>
    </row>
    <row r="15" spans="1:3" x14ac:dyDescent="0.3">
      <c r="A15" s="31"/>
      <c r="B15" s="32"/>
      <c r="C15" s="33"/>
    </row>
    <row r="16" spans="1:3" x14ac:dyDescent="0.3">
      <c r="A16" s="31"/>
      <c r="B16" s="32"/>
      <c r="C16" s="33"/>
    </row>
    <row r="17" spans="1:3" x14ac:dyDescent="0.3">
      <c r="A17" s="31"/>
      <c r="B17" s="32"/>
      <c r="C17" s="33"/>
    </row>
    <row r="18" spans="1:3" x14ac:dyDescent="0.3">
      <c r="A18" s="34"/>
      <c r="B18" s="35"/>
      <c r="C18" s="36"/>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2F332-A7CA-42EF-BE76-AF9DB1F0ECA3}">
  <dimension ref="A3:K118"/>
  <sheetViews>
    <sheetView topLeftCell="A51" zoomScale="99" zoomScaleNormal="100" workbookViewId="0">
      <selection activeCell="C85" sqref="C85"/>
    </sheetView>
  </sheetViews>
  <sheetFormatPr defaultRowHeight="14.4" x14ac:dyDescent="0.3"/>
  <cols>
    <col min="1" max="1" width="12.6640625" bestFit="1" customWidth="1"/>
    <col min="2" max="2" width="9.6640625" bestFit="1" customWidth="1"/>
    <col min="3" max="3" width="12.6640625" bestFit="1" customWidth="1"/>
    <col min="4" max="4" width="9.6640625" bestFit="1" customWidth="1"/>
    <col min="5" max="5" width="6.6640625" bestFit="1" customWidth="1"/>
    <col min="6" max="6" width="6.5546875" bestFit="1" customWidth="1"/>
    <col min="9" max="9" width="13.6640625" customWidth="1"/>
    <col min="10" max="10" width="22.21875" customWidth="1"/>
    <col min="11" max="11" width="11" customWidth="1"/>
  </cols>
  <sheetData>
    <row r="3" spans="1:5" x14ac:dyDescent="0.3">
      <c r="A3" t="s">
        <v>1042</v>
      </c>
      <c r="B3" t="s">
        <v>1043</v>
      </c>
      <c r="C3" t="s">
        <v>1044</v>
      </c>
      <c r="D3" t="s">
        <v>1045</v>
      </c>
      <c r="E3" t="s">
        <v>1046</v>
      </c>
    </row>
    <row r="4" spans="1:5" x14ac:dyDescent="0.3">
      <c r="A4" s="21">
        <v>1000</v>
      </c>
      <c r="B4" s="22">
        <v>96623</v>
      </c>
      <c r="C4" s="21">
        <v>89850</v>
      </c>
      <c r="D4" s="23">
        <v>3.8854000000000033</v>
      </c>
      <c r="E4" s="21">
        <v>307</v>
      </c>
    </row>
    <row r="7" spans="1:5" x14ac:dyDescent="0.3">
      <c r="B7" t="s">
        <v>1047</v>
      </c>
    </row>
    <row r="8" spans="1:5" x14ac:dyDescent="0.3">
      <c r="A8" t="s">
        <v>1042</v>
      </c>
      <c r="B8" t="s">
        <v>1043</v>
      </c>
      <c r="C8" t="s">
        <v>1044</v>
      </c>
      <c r="D8" t="s">
        <v>1045</v>
      </c>
      <c r="E8" t="s">
        <v>1046</v>
      </c>
    </row>
    <row r="9" spans="1:5" x14ac:dyDescent="0.3">
      <c r="A9" s="21">
        <v>200</v>
      </c>
      <c r="B9" s="22">
        <v>20104</v>
      </c>
      <c r="C9" s="21">
        <v>18209</v>
      </c>
      <c r="D9" s="23">
        <v>3.8824999999999998</v>
      </c>
      <c r="E9" s="21">
        <v>51</v>
      </c>
    </row>
    <row r="16" spans="1:5" x14ac:dyDescent="0.3">
      <c r="A16" s="24" t="s">
        <v>1060</v>
      </c>
      <c r="B16" t="s">
        <v>1042</v>
      </c>
      <c r="C16" t="s">
        <v>1062</v>
      </c>
    </row>
    <row r="17" spans="1:3" x14ac:dyDescent="0.3">
      <c r="A17" s="26" t="s">
        <v>1048</v>
      </c>
      <c r="B17" s="21">
        <v>21</v>
      </c>
      <c r="C17" s="21">
        <v>21</v>
      </c>
    </row>
    <row r="18" spans="1:3" x14ac:dyDescent="0.3">
      <c r="A18" s="26" t="s">
        <v>1049</v>
      </c>
      <c r="B18" s="21">
        <v>18</v>
      </c>
      <c r="C18" s="21">
        <v>18</v>
      </c>
    </row>
    <row r="19" spans="1:3" x14ac:dyDescent="0.3">
      <c r="A19" s="26" t="s">
        <v>1050</v>
      </c>
      <c r="B19" s="21">
        <v>31</v>
      </c>
      <c r="C19" s="21">
        <v>31</v>
      </c>
    </row>
    <row r="20" spans="1:3" x14ac:dyDescent="0.3">
      <c r="A20" s="26" t="s">
        <v>1051</v>
      </c>
      <c r="B20" s="21">
        <v>20</v>
      </c>
      <c r="C20" s="21">
        <v>20</v>
      </c>
    </row>
    <row r="21" spans="1:3" x14ac:dyDescent="0.3">
      <c r="A21" s="26" t="s">
        <v>1052</v>
      </c>
      <c r="B21" s="21">
        <v>8</v>
      </c>
      <c r="C21" s="21">
        <v>8</v>
      </c>
    </row>
    <row r="22" spans="1:3" x14ac:dyDescent="0.3">
      <c r="A22" s="26" t="s">
        <v>1053</v>
      </c>
      <c r="B22" s="21">
        <v>12</v>
      </c>
      <c r="C22" s="21">
        <v>12</v>
      </c>
    </row>
    <row r="23" spans="1:3" x14ac:dyDescent="0.3">
      <c r="A23" s="26" t="s">
        <v>1054</v>
      </c>
      <c r="B23" s="21">
        <v>12</v>
      </c>
      <c r="C23" s="21">
        <v>12</v>
      </c>
    </row>
    <row r="24" spans="1:3" x14ac:dyDescent="0.3">
      <c r="A24" s="26" t="s">
        <v>1055</v>
      </c>
      <c r="B24" s="21">
        <v>7</v>
      </c>
      <c r="C24" s="21">
        <v>7</v>
      </c>
    </row>
    <row r="25" spans="1:3" x14ac:dyDescent="0.3">
      <c r="A25" s="26" t="s">
        <v>1056</v>
      </c>
      <c r="B25" s="21">
        <v>20</v>
      </c>
      <c r="C25" s="21">
        <v>20</v>
      </c>
    </row>
    <row r="26" spans="1:3" x14ac:dyDescent="0.3">
      <c r="A26" s="26" t="s">
        <v>1057</v>
      </c>
      <c r="B26" s="21">
        <v>24</v>
      </c>
      <c r="C26" s="21">
        <v>24</v>
      </c>
    </row>
    <row r="27" spans="1:3" x14ac:dyDescent="0.3">
      <c r="A27" s="26" t="s">
        <v>1058</v>
      </c>
      <c r="B27" s="21">
        <v>12</v>
      </c>
      <c r="C27" s="21">
        <v>12</v>
      </c>
    </row>
    <row r="28" spans="1:3" x14ac:dyDescent="0.3">
      <c r="A28" s="26" t="s">
        <v>1059</v>
      </c>
      <c r="B28" s="21">
        <v>15</v>
      </c>
      <c r="C28" s="21">
        <v>15</v>
      </c>
    </row>
    <row r="29" spans="1:3" x14ac:dyDescent="0.3">
      <c r="A29" s="26" t="s">
        <v>1061</v>
      </c>
      <c r="B29" s="21">
        <v>200</v>
      </c>
      <c r="C29" s="21">
        <v>200</v>
      </c>
    </row>
    <row r="42" spans="1:6" x14ac:dyDescent="0.3">
      <c r="A42" s="24" t="s">
        <v>1060</v>
      </c>
      <c r="B42" t="s">
        <v>1042</v>
      </c>
      <c r="D42" s="24"/>
      <c r="E42" s="24"/>
      <c r="F42" s="24"/>
    </row>
    <row r="43" spans="1:6" x14ac:dyDescent="0.3">
      <c r="A43" s="26" t="s">
        <v>1066</v>
      </c>
      <c r="B43" s="21">
        <v>27</v>
      </c>
    </row>
    <row r="44" spans="1:6" x14ac:dyDescent="0.3">
      <c r="A44" s="26" t="s">
        <v>1064</v>
      </c>
      <c r="B44" s="21">
        <v>22</v>
      </c>
    </row>
    <row r="45" spans="1:6" x14ac:dyDescent="0.3">
      <c r="A45" s="26" t="s">
        <v>1068</v>
      </c>
      <c r="B45" s="21">
        <v>27</v>
      </c>
    </row>
    <row r="46" spans="1:6" x14ac:dyDescent="0.3">
      <c r="A46" s="26" t="s">
        <v>1069</v>
      </c>
      <c r="B46" s="21">
        <v>27</v>
      </c>
    </row>
    <row r="47" spans="1:6" x14ac:dyDescent="0.3">
      <c r="A47" s="26" t="s">
        <v>1067</v>
      </c>
      <c r="B47" s="21">
        <v>27</v>
      </c>
    </row>
    <row r="48" spans="1:6" x14ac:dyDescent="0.3">
      <c r="A48" s="26" t="s">
        <v>1063</v>
      </c>
      <c r="B48" s="21">
        <v>32</v>
      </c>
    </row>
    <row r="49" spans="1:11" x14ac:dyDescent="0.3">
      <c r="A49" s="26" t="s">
        <v>1065</v>
      </c>
      <c r="B49" s="21">
        <v>38</v>
      </c>
    </row>
    <row r="50" spans="1:11" x14ac:dyDescent="0.3">
      <c r="A50" s="26" t="s">
        <v>1061</v>
      </c>
      <c r="B50" s="21">
        <v>200</v>
      </c>
    </row>
    <row r="53" spans="1:11" x14ac:dyDescent="0.3">
      <c r="I53" t="s">
        <v>1095</v>
      </c>
      <c r="J53" t="str">
        <f>C85</f>
        <v>R05</v>
      </c>
    </row>
    <row r="54" spans="1:11" x14ac:dyDescent="0.3">
      <c r="G54" t="s">
        <v>1070</v>
      </c>
    </row>
    <row r="55" spans="1:11" x14ac:dyDescent="0.3">
      <c r="A55" s="24" t="s">
        <v>1060</v>
      </c>
      <c r="B55" t="s">
        <v>1042</v>
      </c>
      <c r="C55" t="s">
        <v>1043</v>
      </c>
      <c r="G55" t="s">
        <v>1090</v>
      </c>
      <c r="H55" t="s">
        <v>1091</v>
      </c>
      <c r="I55" t="s">
        <v>1092</v>
      </c>
      <c r="J55" t="s">
        <v>1093</v>
      </c>
      <c r="K55" t="s">
        <v>1094</v>
      </c>
    </row>
    <row r="56" spans="1:11" x14ac:dyDescent="0.3">
      <c r="A56" s="26" t="s">
        <v>11</v>
      </c>
      <c r="B56" s="21">
        <v>189</v>
      </c>
      <c r="C56" s="22">
        <v>18415</v>
      </c>
      <c r="G56" t="s">
        <v>11</v>
      </c>
      <c r="H56">
        <f>B56</f>
        <v>189</v>
      </c>
      <c r="I56" s="27">
        <f t="shared" ref="I56:I60" si="0">C56</f>
        <v>18415</v>
      </c>
      <c r="J56" t="e">
        <f>IF(G61=$J$53,H56,NA())</f>
        <v>#N/A</v>
      </c>
      <c r="K56" t="e">
        <f>IF(G61=$J$53,I56,NA())</f>
        <v>#N/A</v>
      </c>
    </row>
    <row r="57" spans="1:11" x14ac:dyDescent="0.3">
      <c r="A57" s="26" t="s">
        <v>9</v>
      </c>
      <c r="B57" s="21">
        <v>218</v>
      </c>
      <c r="C57" s="22">
        <v>20581</v>
      </c>
      <c r="G57" t="s">
        <v>9</v>
      </c>
      <c r="H57">
        <f t="shared" ref="H57:H60" si="1">B57</f>
        <v>218</v>
      </c>
      <c r="I57" s="27">
        <f t="shared" si="0"/>
        <v>20581</v>
      </c>
      <c r="J57" t="e">
        <f>IF(G62=$J$53,H57,NA())</f>
        <v>#N/A</v>
      </c>
      <c r="K57" t="e">
        <f>IF(G62=$J$53,I57,NA())</f>
        <v>#N/A</v>
      </c>
    </row>
    <row r="58" spans="1:11" x14ac:dyDescent="0.3">
      <c r="A58" s="26" t="s">
        <v>6</v>
      </c>
      <c r="B58" s="21">
        <v>207</v>
      </c>
      <c r="C58" s="22">
        <v>20872</v>
      </c>
      <c r="G58" t="s">
        <v>6</v>
      </c>
      <c r="H58">
        <f t="shared" si="1"/>
        <v>207</v>
      </c>
      <c r="I58" s="27">
        <f t="shared" si="0"/>
        <v>20872</v>
      </c>
      <c r="J58" t="e">
        <f>IF(G63=$J$53,H58,NA())</f>
        <v>#N/A</v>
      </c>
      <c r="K58" t="e">
        <f>IF(G63=$J$53,I58,NA())</f>
        <v>#N/A</v>
      </c>
    </row>
    <row r="59" spans="1:11" x14ac:dyDescent="0.3">
      <c r="A59" s="26" t="s">
        <v>13</v>
      </c>
      <c r="B59" s="21">
        <v>186</v>
      </c>
      <c r="C59" s="22">
        <v>16651</v>
      </c>
      <c r="G59" t="s">
        <v>13</v>
      </c>
      <c r="H59">
        <f t="shared" si="1"/>
        <v>186</v>
      </c>
      <c r="I59" s="27">
        <f t="shared" si="0"/>
        <v>16651</v>
      </c>
      <c r="J59" t="e">
        <f>IF(G64=$J$53,H59,NA())</f>
        <v>#N/A</v>
      </c>
      <c r="K59" t="e">
        <f>IF(G64=$J$53,I59,NA())</f>
        <v>#N/A</v>
      </c>
    </row>
    <row r="60" spans="1:11" x14ac:dyDescent="0.3">
      <c r="A60" s="26" t="s">
        <v>10</v>
      </c>
      <c r="B60" s="21">
        <v>200</v>
      </c>
      <c r="C60" s="22">
        <v>20104</v>
      </c>
      <c r="G60" t="s">
        <v>10</v>
      </c>
      <c r="H60">
        <f t="shared" si="1"/>
        <v>200</v>
      </c>
      <c r="I60" s="27">
        <f t="shared" si="0"/>
        <v>20104</v>
      </c>
      <c r="J60" t="e">
        <f>IF(G65=$J$53,H60,NA())</f>
        <v>#N/A</v>
      </c>
      <c r="K60" t="e">
        <f>IF(G65=$J$53,I60,NA())</f>
        <v>#N/A</v>
      </c>
    </row>
    <row r="61" spans="1:11" x14ac:dyDescent="0.3">
      <c r="A61" s="26" t="s">
        <v>1061</v>
      </c>
      <c r="B61" s="21">
        <v>1000</v>
      </c>
      <c r="C61" s="22">
        <v>96623</v>
      </c>
    </row>
    <row r="84" spans="1:4" x14ac:dyDescent="0.3">
      <c r="C84" s="24" t="s">
        <v>1060</v>
      </c>
    </row>
    <row r="85" spans="1:4" x14ac:dyDescent="0.3">
      <c r="C85" s="37" t="s">
        <v>10</v>
      </c>
    </row>
    <row r="89" spans="1:4" x14ac:dyDescent="0.3">
      <c r="A89" s="24" t="s">
        <v>1042</v>
      </c>
      <c r="B89" s="24" t="s">
        <v>1096</v>
      </c>
    </row>
    <row r="90" spans="1:4" x14ac:dyDescent="0.3">
      <c r="A90" s="24" t="s">
        <v>1060</v>
      </c>
      <c r="B90" t="s">
        <v>999</v>
      </c>
      <c r="C90" t="s">
        <v>998</v>
      </c>
      <c r="D90" t="s">
        <v>1061</v>
      </c>
    </row>
    <row r="91" spans="1:4" x14ac:dyDescent="0.3">
      <c r="A91" s="26" t="s">
        <v>1002</v>
      </c>
      <c r="B91" s="21">
        <v>144</v>
      </c>
      <c r="C91" s="21">
        <v>132</v>
      </c>
      <c r="D91" s="21">
        <v>276</v>
      </c>
    </row>
    <row r="92" spans="1:4" x14ac:dyDescent="0.3">
      <c r="A92" s="26" t="s">
        <v>1001</v>
      </c>
      <c r="B92" s="21">
        <v>326</v>
      </c>
      <c r="C92" s="21">
        <v>63</v>
      </c>
      <c r="D92" s="21">
        <v>389</v>
      </c>
    </row>
    <row r="93" spans="1:4" x14ac:dyDescent="0.3">
      <c r="A93" s="26" t="s">
        <v>1000</v>
      </c>
      <c r="B93" s="21">
        <v>129</v>
      </c>
      <c r="C93" s="21">
        <v>206</v>
      </c>
      <c r="D93" s="21">
        <v>335</v>
      </c>
    </row>
    <row r="94" spans="1:4" x14ac:dyDescent="0.3">
      <c r="A94" s="26" t="s">
        <v>1061</v>
      </c>
      <c r="B94" s="21">
        <v>599</v>
      </c>
      <c r="C94" s="21">
        <v>401</v>
      </c>
      <c r="D94" s="21">
        <v>1000</v>
      </c>
    </row>
    <row r="97" spans="1:4" x14ac:dyDescent="0.3">
      <c r="A97" s="24" t="s">
        <v>1042</v>
      </c>
      <c r="B97" s="24" t="s">
        <v>1096</v>
      </c>
    </row>
    <row r="98" spans="1:4" x14ac:dyDescent="0.3">
      <c r="A98" s="24" t="s">
        <v>1060</v>
      </c>
      <c r="B98" t="s">
        <v>999</v>
      </c>
      <c r="C98" t="s">
        <v>998</v>
      </c>
      <c r="D98" t="s">
        <v>1061</v>
      </c>
    </row>
    <row r="99" spans="1:4" x14ac:dyDescent="0.3">
      <c r="A99" s="26" t="s">
        <v>1002</v>
      </c>
      <c r="B99" s="21">
        <v>144</v>
      </c>
      <c r="C99" s="21">
        <v>132</v>
      </c>
      <c r="D99" s="21">
        <v>276</v>
      </c>
    </row>
    <row r="100" spans="1:4" x14ac:dyDescent="0.3">
      <c r="A100" s="26" t="s">
        <v>1001</v>
      </c>
      <c r="B100" s="21">
        <v>326</v>
      </c>
      <c r="C100" s="21">
        <v>63</v>
      </c>
      <c r="D100" s="21">
        <v>389</v>
      </c>
    </row>
    <row r="101" spans="1:4" x14ac:dyDescent="0.3">
      <c r="A101" s="26" t="s">
        <v>1000</v>
      </c>
      <c r="B101" s="21">
        <v>129</v>
      </c>
      <c r="C101" s="21">
        <v>206</v>
      </c>
      <c r="D101" s="21">
        <v>335</v>
      </c>
    </row>
    <row r="102" spans="1:4" x14ac:dyDescent="0.3">
      <c r="A102" s="26" t="s">
        <v>1061</v>
      </c>
      <c r="B102" s="21">
        <v>599</v>
      </c>
      <c r="C102" s="21">
        <v>401</v>
      </c>
      <c r="D102" s="21">
        <v>1000</v>
      </c>
    </row>
    <row r="104" spans="1:4" x14ac:dyDescent="0.3">
      <c r="A104" s="24" t="s">
        <v>1060</v>
      </c>
      <c r="B104" t="s">
        <v>1042</v>
      </c>
    </row>
    <row r="105" spans="1:4" x14ac:dyDescent="0.3">
      <c r="A105" s="26">
        <v>0</v>
      </c>
      <c r="B105" s="21">
        <v>1</v>
      </c>
    </row>
    <row r="106" spans="1:4" x14ac:dyDescent="0.3">
      <c r="A106" s="26">
        <v>1</v>
      </c>
      <c r="B106" s="21">
        <v>8</v>
      </c>
    </row>
    <row r="107" spans="1:4" x14ac:dyDescent="0.3">
      <c r="A107" s="26">
        <v>2</v>
      </c>
      <c r="B107" s="21">
        <v>59</v>
      </c>
    </row>
    <row r="108" spans="1:4" x14ac:dyDescent="0.3">
      <c r="A108" s="26">
        <v>3</v>
      </c>
      <c r="B108" s="21">
        <v>197</v>
      </c>
    </row>
    <row r="109" spans="1:4" x14ac:dyDescent="0.3">
      <c r="A109" s="26">
        <v>4</v>
      </c>
      <c r="B109" s="21">
        <v>428</v>
      </c>
    </row>
    <row r="110" spans="1:4" x14ac:dyDescent="0.3">
      <c r="A110" s="26">
        <v>5</v>
      </c>
      <c r="B110" s="21">
        <v>307</v>
      </c>
    </row>
    <row r="111" spans="1:4" x14ac:dyDescent="0.3">
      <c r="A111" s="26" t="s">
        <v>1061</v>
      </c>
      <c r="B111" s="21">
        <v>1000</v>
      </c>
    </row>
    <row r="113" spans="1:2" x14ac:dyDescent="0.3">
      <c r="A113" s="24" t="s">
        <v>1060</v>
      </c>
      <c r="B113" t="s">
        <v>1042</v>
      </c>
    </row>
    <row r="114" spans="1:2" x14ac:dyDescent="0.3">
      <c r="A114" s="26">
        <v>2</v>
      </c>
      <c r="B114" s="21">
        <v>10</v>
      </c>
    </row>
    <row r="115" spans="1:2" x14ac:dyDescent="0.3">
      <c r="A115" s="26">
        <v>3</v>
      </c>
      <c r="B115" s="21">
        <v>44</v>
      </c>
    </row>
    <row r="116" spans="1:2" x14ac:dyDescent="0.3">
      <c r="A116" s="26">
        <v>4</v>
      </c>
      <c r="B116" s="21">
        <v>95</v>
      </c>
    </row>
    <row r="117" spans="1:2" x14ac:dyDescent="0.3">
      <c r="A117" s="26">
        <v>5</v>
      </c>
      <c r="B117" s="21">
        <v>51</v>
      </c>
    </row>
    <row r="118" spans="1:2" x14ac:dyDescent="0.3">
      <c r="A118" s="26" t="s">
        <v>1061</v>
      </c>
      <c r="B118" s="21">
        <v>200</v>
      </c>
    </row>
  </sheetData>
  <pageMargins left="0.7" right="0.7" top="0.75" bottom="0.75" header="0.3" footer="0.3"/>
  <pageSetup orientation="portrait" horizontalDpi="1200" verticalDpi="1200" r:id="rId11"/>
  <drawing r:id="rId1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B4" zoomScale="115" zoomScaleNormal="115" workbookViewId="0">
      <selection activeCell="C7" sqref="C7"/>
    </sheetView>
  </sheetViews>
  <sheetFormatPr defaultRowHeight="14.4" x14ac:dyDescent="0.3"/>
  <cols>
    <col min="1" max="1" width="3.6640625" customWidth="1"/>
    <col min="2" max="2" width="14.6640625" customWidth="1"/>
    <col min="3" max="3" width="13" customWidth="1"/>
    <col min="4" max="4" width="16.6640625" customWidth="1"/>
    <col min="5" max="5" width="15.109375" customWidth="1"/>
    <col min="6" max="6" width="16.33203125" customWidth="1"/>
    <col min="7" max="7" width="17.33203125" customWidth="1"/>
    <col min="8" max="8" width="18.44140625" customWidth="1"/>
    <col min="9" max="9" width="17.33203125" customWidth="1"/>
    <col min="10" max="12" width="15.5546875" customWidth="1"/>
    <col min="13" max="16" width="7.5546875" customWidth="1"/>
    <col min="17" max="17" width="14.6640625" customWidth="1"/>
    <col min="20" max="20" width="10.6640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D32C4-DBDA-4A3E-9B49-6F5F5AB41D67}">
  <dimension ref="A1"/>
  <sheetViews>
    <sheetView tabSelected="1" topLeftCell="A10" workbookViewId="0">
      <selection activeCell="U27" sqref="U27"/>
    </sheetView>
  </sheetViews>
  <sheetFormatPr defaultRowHeight="14.4" x14ac:dyDescent="0.3"/>
  <cols>
    <col min="1" max="1" width="2.6640625" style="20" customWidth="1"/>
    <col min="2" max="2" width="3" style="20" customWidth="1"/>
    <col min="3" max="16384" width="8.88671875" style="2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H13" sqref="H13"/>
    </sheetView>
  </sheetViews>
  <sheetFormatPr defaultRowHeight="14.4" x14ac:dyDescent="0.3"/>
  <cols>
    <col min="5" max="5" width="11" customWidth="1"/>
    <col min="6" max="6" width="10" customWidth="1"/>
  </cols>
  <sheetData>
    <row r="2" spans="5:6" x14ac:dyDescent="0.3">
      <c r="E2" t="s">
        <v>1040</v>
      </c>
      <c r="F2" t="s">
        <v>1041</v>
      </c>
    </row>
    <row r="3" spans="5:6" ht="25.5" customHeight="1" x14ac:dyDescent="0.3">
      <c r="E3" t="s">
        <v>11</v>
      </c>
      <c r="F3" t="e" vm="1">
        <v>#VALUE!</v>
      </c>
    </row>
    <row r="4" spans="5:6" ht="25.5" customHeight="1" x14ac:dyDescent="0.3">
      <c r="E4" t="s">
        <v>9</v>
      </c>
      <c r="F4" t="e" vm="2">
        <v>#VALUE!</v>
      </c>
    </row>
    <row r="5" spans="5:6" ht="25.5" customHeight="1" x14ac:dyDescent="0.3">
      <c r="E5" t="s">
        <v>6</v>
      </c>
      <c r="F5" t="e" vm="3">
        <v>#VALUE!</v>
      </c>
    </row>
    <row r="6" spans="5:6" ht="25.5" customHeight="1" x14ac:dyDescent="0.3">
      <c r="E6" t="s">
        <v>13</v>
      </c>
      <c r="F6" t="e" vm="4">
        <v>#VALUE!</v>
      </c>
    </row>
    <row r="7" spans="5:6" ht="25.5" customHeight="1" x14ac:dyDescent="0.3">
      <c r="E7" t="s">
        <v>10</v>
      </c>
      <c r="F7" t="e" vm="5">
        <v>#VALUE!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Sheet2</vt:lpstr>
      <vt:lpstr>pivot</vt:lpstr>
      <vt:lpstr>Data</vt:lpstr>
      <vt:lpstr>Customer centre report</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spandanaspandu907@gmail.com</cp:lastModifiedBy>
  <dcterms:created xsi:type="dcterms:W3CDTF">2021-03-14T20:21:32Z</dcterms:created>
  <dcterms:modified xsi:type="dcterms:W3CDTF">2025-11-17T16:56:24Z</dcterms:modified>
</cp:coreProperties>
</file>